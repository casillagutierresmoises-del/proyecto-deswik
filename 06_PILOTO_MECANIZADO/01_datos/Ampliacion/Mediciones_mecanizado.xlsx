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7cf18fca7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jeos" sheetId="1" r:id="R72cdaacf64004160"/>
    <x:sheet xmlns:r="http://schemas.openxmlformats.org/officeDocument/2006/relationships" name="Labores" sheetId="2" r:id="R83d5c7b24877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00"/>
    <x:numFmt numFmtId="202" formatCode="0"/>
    <x:numFmt numFmtId="203" formatCode="#,##0.00"/>
  </x:numFmts>
  <x:fonts count="5">
    <x:font>
      <x:sz val="11"/>
      <x:name val="Carlito"/>
    </x:font>
    <x:font>
      <x:sz val="10"/>
      <x:color rgb="FF1A2733"/>
      <x:name val="Arial"/>
    </x:font>
    <x:font>
      <x:b/>
      <x:sz val="14"/>
      <x:color rgb="FF183851"/>
      <x:name val="Arial"/>
    </x:font>
    <x:font>
      <x:i/>
      <x:sz val="10"/>
      <x:color rgb="FF5262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851"/>
      </x:patternFill>
    </x:fill>
    <x:fill>
      <x:patternFill patternType="solid">
        <x:fgColor rgb="FFFFF0C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8385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11b3115c446f7" /><Relationship Type="http://schemas.openxmlformats.org/officeDocument/2006/relationships/theme" Target="/xl/theme/theme1.xml" Id="Rf8eb1821f0384bfe" /><Relationship Type="http://schemas.openxmlformats.org/officeDocument/2006/relationships/sharedStrings" Target="/xl/sharedStrings.xml" Id="Re8d6c2077f0242b5" /><Relationship Type="http://schemas.openxmlformats.org/officeDocument/2006/relationships/worksheet" Target="/xl/worksheets/sheet1.xml" Id="R72cdaacf64004160" /><Relationship Type="http://schemas.openxmlformats.org/officeDocument/2006/relationships/worksheet" Target="/xl/worksheets/sheet2.xml" Id="R83d5c7b24877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851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Proyecto Deswik: tajeos y relleno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1" t="str">
        <x:v>Mineral geométrico (m³)</x:v>
      </x:c>
      <x:c r="B4" s="1"/>
      <x:c r="C4" s="22" t="n">
        <x:f>SUM(C9:C14)</x:f>
        <x:v>12656.154500571534</x:v>
      </x:c>
      <x:c r="D4" s="4" t="str">
        <x:v>Toneladas supuestas (t)</x:v>
      </x:c>
      <x:c r="E4" s="26" t="n">
        <x:f>IF(COUNT(E9:E14)&lt;&gt;COUNTA(A9:A14),"FALTA DENSIDAD",SUM(E9:E14))</x:f>
        <x:v>34171.61715154315</x:v>
      </x:c>
      <x:c r="F4" s="4" t="str">
        <x:v>Relleno modelado (m³)</x:v>
      </x:c>
      <x:c r="G4" s="1"/>
      <x:c r="H4" s="22" t="n">
        <x:f>IF(COUNT(H9:H14)&lt;&gt;COUNT(F9:F14),"FALTA FACTOR",SUM(H9:H14))</x:f>
        <x:v>22268.599997882346</x:v>
      </x:c>
      <x:c r="I4" s="1"/>
      <x:c r="J4" s="1"/>
      <x:c r="K4" s="1"/>
      <x:c r="L4" s="1"/>
    </x:row>
    <x:row r="5">
      <x:c r="A5" s="5" t="str">
        <x:v>Densidad y factor en amarillo: editar por tajeo. Densidad inicial 2,7 t/m³ supuesta.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>
      <x:c r="A6" s="5" t="str">
        <x:v>Volumen mineralizado contado una vez. Relleno por cortes consecutivos. Datos sintéticos, sin categoría de recursos.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>
      <x:c r="A7" s="5" t="str">
        <x:v>Diseño conceptual. Requiere validación geotécnica, sostenimiento, ventilación y maniobras.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</x:row>
    <x:row r="8" ht="34" customHeight="1">
      <x:c r="A8" s="17" t="str">
        <x:v>Tajeo</x:v>
      </x:c>
      <x:c r="B8" s="18" t="str">
        <x:v>Método</x:v>
      </x:c>
      <x:c r="C8" s="18" t="str">
        <x:v>Mineral (m³)</x:v>
      </x:c>
      <x:c r="D8" s="18" t="str">
        <x:v>Densidad (t/m³)</x:v>
      </x:c>
      <x:c r="E8" s="18" t="str">
        <x:v>Toneladas (t)</x:v>
      </x:c>
      <x:c r="F8" s="18" t="str">
        <x:v>Relleno geom. (m³)</x:v>
      </x:c>
      <x:c r="G8" s="18" t="str">
        <x:v>Factor relleno</x:v>
      </x:c>
      <x:c r="H8" s="18" t="str">
        <x:v>Relleno colocado (m³)</x:v>
      </x:c>
      <x:c r="I8" s="18" t="str">
        <x:v>Cota inf. (m)</x:v>
      </x:c>
      <x:c r="J8" s="18" t="str">
        <x:v>Cota sup. (m)</x:v>
      </x:c>
      <x:c r="K8" s="18" t="str">
        <x:v>Cortes relleno</x:v>
      </x:c>
      <x:c r="L8" s="19" t="str">
        <x:v>Estado datos</x:v>
      </x:c>
    </x:row>
    <x:row r="9" ht="24" customHeight="1">
      <x:c r="A9" s="1" t="str">
        <x:v>TJ-A1</x:v>
      </x:c>
      <x:c r="B9" s="1" t="str">
        <x:v>Corte y relleno ascendente</x:v>
      </x:c>
      <x:c r="C9" s="22" t="n">
        <x:v>1597.9517693569553</x:v>
      </x:c>
      <x:c r="D9" s="24" t="n">
        <x:v>2.7</x:v>
      </x:c>
      <x:c r="E9" s="22" t="n">
        <x:f>IF(OR(NOT(ISNUMBER(D9)),D9&lt;=0),"FALTA DENSIDAD",C9*D9)</x:f>
        <x:v>4314.469777263779</x:v>
      </x:c>
      <x:c r="F9" s="22" t="n">
        <x:v>3570.000000000233</x:v>
      </x:c>
      <x:c r="G9" s="24" t="n">
        <x:v>1</x:v>
      </x:c>
      <x:c r="H9" s="23" t="n">
        <x:f>IF(NOT(ISNUMBER(F9)),"n.a.",IF(OR(NOT(ISNUMBER(G9)),G9&lt;0),"FALTA FACTOR",F9*G9))</x:f>
        <x:v>3570.000000000233</x:v>
      </x:c>
      <x:c r="I9" s="22" t="n">
        <x:v>2170</x:v>
      </x:c>
      <x:c r="J9" s="22" t="n">
        <x:v>2210</x:v>
      </x:c>
      <x:c r="K9" s="25" t="n">
        <x:v>12</x:v>
      </x:c>
      <x:c r="L9" s="1" t="str">
        <x:v>SINTÉTICO / CONCEPTUAL</x:v>
      </x:c>
    </x:row>
    <x:row r="10" ht="24" customHeight="1">
      <x:c r="A10" s="1" t="str">
        <x:v>TJ-A2</x:v>
      </x:c>
      <x:c r="B10" s="1" t="str">
        <x:v>Corte y relleno ascendente</x:v>
      </x:c>
      <x:c r="C10" s="22" t="n">
        <x:v>1788.2152188013424</x:v>
      </x:c>
      <x:c r="D10" s="24" t="n">
        <x:v>2.7</x:v>
      </x:c>
      <x:c r="E10" s="22" t="n">
        <x:f>IF(OR(NOT(ISNUMBER(D10)),D10&lt;=0),"FALTA DENSIDAD",C10*D10)</x:f>
        <x:v>4828.1810907636245</x:v>
      </x:c>
      <x:c r="F10" s="22" t="n">
        <x:v>3570.0000000003106</x:v>
      </x:c>
      <x:c r="G10" s="24" t="n">
        <x:v>1</x:v>
      </x:c>
      <x:c r="H10" s="23" t="n">
        <x:f>IF(NOT(ISNUMBER(F10)),"n.a.",IF(OR(NOT(ISNUMBER(G10)),G10&lt;0),"FALTA FACTOR",F10*G10))</x:f>
        <x:v>3570.0000000003106</x:v>
      </x:c>
      <x:c r="I10" s="22" t="n">
        <x:v>2170</x:v>
      </x:c>
      <x:c r="J10" s="22" t="n">
        <x:v>2210</x:v>
      </x:c>
      <x:c r="K10" s="25" t="n">
        <x:v>12</x:v>
      </x:c>
      <x:c r="L10" s="1" t="str">
        <x:v>SINTÉTICO / CONCEPTUAL</x:v>
      </x:c>
    </x:row>
    <x:row r="11" ht="24" customHeight="1">
      <x:c r="A11" s="1" t="str">
        <x:v>TJ-A3</x:v>
      </x:c>
      <x:c r="B11" s="1" t="str">
        <x:v>Corte y relleno ascendente</x:v>
      </x:c>
      <x:c r="C11" s="22" t="n">
        <x:v>2004.1401744213265</x:v>
      </x:c>
      <x:c r="D11" s="24" t="n">
        <x:v>2.7</x:v>
      </x:c>
      <x:c r="E11" s="22" t="n">
        <x:f>IF(OR(NOT(ISNUMBER(D11)),D11&lt;=0),"FALTA DENSIDAD",C11*D11)</x:f>
        <x:v>5411.178470937582</x:v>
      </x:c>
      <x:c r="F11" s="22" t="n">
        <x:v>3570.000000000194</x:v>
      </x:c>
      <x:c r="G11" s="24" t="n">
        <x:v>1</x:v>
      </x:c>
      <x:c r="H11" s="23" t="n">
        <x:f>IF(NOT(ISNUMBER(F11)),"n.a.",IF(OR(NOT(ISNUMBER(G11)),G11&lt;0),"FALTA FACTOR",F11*G11))</x:f>
        <x:v>3570.000000000194</x:v>
      </x:c>
      <x:c r="I11" s="22" t="n">
        <x:v>2170</x:v>
      </x:c>
      <x:c r="J11" s="22" t="n">
        <x:v>2210</x:v>
      </x:c>
      <x:c r="K11" s="25" t="n">
        <x:v>12</x:v>
      </x:c>
      <x:c r="L11" s="1" t="str">
        <x:v>SINTÉTICO / CONCEPTUAL</x:v>
      </x:c>
    </x:row>
    <x:row r="12" ht="24" customHeight="1">
      <x:c r="A12" s="1" t="str">
        <x:v>TJ-A4</x:v>
      </x:c>
      <x:c r="B12" s="1" t="str">
        <x:v>Corte y relleno ascendente</x:v>
      </x:c>
      <x:c r="C12" s="22" t="n">
        <x:v>2237.898124088475</x:v>
      </x:c>
      <x:c r="D12" s="24" t="n">
        <x:v>2.7</x:v>
      </x:c>
      <x:c r="E12" s="22" t="n">
        <x:f>IF(OR(NOT(ISNUMBER(D12)),D12&lt;=0),"FALTA DENSIDAD",C12*D12)</x:f>
        <x:v>6042.324935038883</x:v>
      </x:c>
      <x:c r="F12" s="22" t="n">
        <x:v>3569.9999999998836</x:v>
      </x:c>
      <x:c r="G12" s="24" t="n">
        <x:v>1</x:v>
      </x:c>
      <x:c r="H12" s="23" t="n">
        <x:f>IF(NOT(ISNUMBER(F12)),"n.a.",IF(OR(NOT(ISNUMBER(G12)),G12&lt;0),"FALTA FACTOR",F12*G12))</x:f>
        <x:v>3569.9999999998836</x:v>
      </x:c>
      <x:c r="I12" s="22" t="n">
        <x:v>2170</x:v>
      </x:c>
      <x:c r="J12" s="22" t="n">
        <x:v>2210</x:v>
      </x:c>
      <x:c r="K12" s="25" t="n">
        <x:v>12</x:v>
      </x:c>
      <x:c r="L12" s="1" t="str">
        <x:v>SINTÉTICO / CONCEPTUAL</x:v>
      </x:c>
    </x:row>
    <x:row r="13" ht="24" customHeight="1">
      <x:c r="A13" s="1" t="str">
        <x:v>TJ-B1</x:v>
      </x:c>
      <x:c r="B13" s="1" t="str">
        <x:v>Subniveles / taladros largos</x:v>
      </x:c>
      <x:c r="C13" s="22" t="n">
        <x:v>3255.3580295572465</x:v>
      </x:c>
      <x:c r="D13" s="24" t="n">
        <x:v>2.7</x:v>
      </x:c>
      <x:c r="E13" s="22" t="n">
        <x:f>IF(OR(NOT(ISNUMBER(D13)),D13&lt;=0),"FALTA DENSIDAD",C13*D13)</x:f>
        <x:v>8789.466679804566</x:v>
      </x:c>
      <x:c r="F13" s="22" t="n">
        <x:v>3228.599997881607</x:v>
      </x:c>
      <x:c r="G13" s="24" t="n">
        <x:v>1</x:v>
      </x:c>
      <x:c r="H13" s="23" t="n">
        <x:f>IF(NOT(ISNUMBER(F13)),"n.a.",IF(OR(NOT(ISNUMBER(G13)),G13&lt;0),"FALTA FACTOR",F13*G13))</x:f>
        <x:v>3228.599997881607</x:v>
      </x:c>
      <x:c r="I13" s="22" t="n">
        <x:v>2130</x:v>
      </x:c>
      <x:c r="J13" s="22" t="n">
        <x:v>2190</x:v>
      </x:c>
      <x:c r="K13" s="25" t="n">
        <x:v>1</x:v>
      </x:c>
      <x:c r="L13" s="1" t="str">
        <x:v>SINTÉTICO / CONCEPTUAL</x:v>
      </x:c>
    </x:row>
    <x:row r="14" ht="24" customHeight="1">
      <x:c r="A14" s="1" t="str">
        <x:v>TJ-C1</x:v>
      </x:c>
      <x:c r="B14" s="1" t="str">
        <x:v>Corte y relleno ascendente</x:v>
      </x:c>
      <x:c r="C14" s="22" t="n">
        <x:v>1772.5911843461897</x:v>
      </x:c>
      <x:c r="D14" s="24" t="n">
        <x:v>2.7</x:v>
      </x:c>
      <x:c r="E14" s="22" t="n">
        <x:f>IF(OR(NOT(ISNUMBER(D14)),D14&lt;=0),"FALTA DENSIDAD",C14*D14)</x:f>
        <x:v>4785.996197734713</x:v>
      </x:c>
      <x:c r="F14" s="22" t="n">
        <x:v>4760.000000000116</x:v>
      </x:c>
      <x:c r="G14" s="24" t="n">
        <x:v>1</x:v>
      </x:c>
      <x:c r="H14" s="23" t="n">
        <x:f>IF(NOT(ISNUMBER(F14)),"n.a.",IF(OR(NOT(ISNUMBER(G14)),G14&lt;0),"FALTA FACTOR",F14*G14))</x:f>
        <x:v>4760.000000000116</x:v>
      </x:c>
      <x:c r="I14" s="22" t="n">
        <x:v>2130</x:v>
      </x:c>
      <x:c r="J14" s="22" t="n">
        <x:v>2170</x:v>
      </x:c>
      <x:c r="K14" s="25" t="n">
        <x:v>12</x:v>
      </x:c>
      <x:c r="L14" s="1" t="str">
        <x:v>SINTÉTICO / CONCEPTUAL</x:v>
      </x:c>
    </x:row>
    <x:row r="17">
      <x:c r="A17" s="5" t="str">
        <x:v>Fuente geométrica: Manifest_ampliacion.json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5" t="str">
        <x:v>Densidad 2,7 t/m³ y factor de relleno 1,000: supuestos editables, no mediciones de campo.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5" t="str">
        <x:v>n.a.: relleno no modelado. Total de relleno incluye únicamente los sólidos existentes. Mezcla y resistencia pendientes.</x:v>
      </x:c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189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27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4" hidden="0" customWidth="1"/>
    <x:col min="18" max="18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Labores: mediciones de sólidos cerrados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5" t="str">
        <x:v>Volúmenes brutos por entidad; sin total neto de excavación. Rampa base 4,5 × 4,5 m, ensanches 6,5 m: ancho mostrado máximo.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A5" s="5" t="str">
        <x:v>Área equivalente = volumen / longitud 3D. No equivale necesariamente al área nominal de una sección variable.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>
      <x:c r="A6" s="5" t="str">
        <x:v>Fuente: Manifest_ampliacion.json. Identidades, unidades m/m²/m³ y fases conservadas. Sin EPSG documentado.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ht="34" customHeight="1">
      <x:c r="A7" s="17" t="str">
        <x:v>Labor</x:v>
      </x:c>
      <x:c r="B7" s="18" t="str">
        <x:v>Método</x:v>
      </x:c>
      <x:c r="C7" s="18" t="str">
        <x:v>Tajeo</x:v>
      </x:c>
      <x:c r="D7" s="18" t="str">
        <x:v>Fase</x:v>
      </x:c>
      <x:c r="E7" s="18" t="str">
        <x:v>Longitud 3D (m)</x:v>
      </x:c>
      <x:c r="F7" s="18" t="str">
        <x:v>Ancho máx. (m)</x:v>
      </x:c>
      <x:c r="G7" s="18" t="str">
        <x:v>Altura (m)</x:v>
      </x:c>
      <x:c r="H7" s="18" t="str">
        <x:v>Sección nominal máx. (m²)</x:v>
      </x:c>
      <x:c r="I7" s="18" t="str">
        <x:v>Área eq. V/L (m²)</x:v>
      </x:c>
      <x:c r="J7" s="18" t="str">
        <x:v>Vol. sólido (m³)</x:v>
      </x:c>
      <x:c r="K7" s="18" t="str">
        <x:v>Mineral declarado (m³)</x:v>
      </x:c>
      <x:c r="L7" s="18" t="str">
        <x:v>Relleno declarado (m³)</x:v>
      </x:c>
      <x:c r="M7" s="18" t="str">
        <x:v>Cota mín. (m)</x:v>
      </x:c>
      <x:c r="N7" s="18" t="str">
        <x:v>Cota máx. (m)</x:v>
      </x:c>
      <x:c r="O7" s="18" t="str">
        <x:v>Pendiente máx. (%)</x:v>
      </x:c>
      <x:c r="P7" s="18" t="str">
        <x:v>Radio eje mín. (m)</x:v>
      </x:c>
      <x:c r="Q7" s="18" t="str">
        <x:v>Categoría medición</x:v>
      </x:c>
      <x:c r="R7" s="19" t="str">
        <x:v>Función</x:v>
      </x:c>
    </x:row>
    <x:row r="8" ht="22" customHeight="1">
      <x:c r="A8" s="1" t="str">
        <x:v>RMP-V2-01</x:v>
      </x:c>
      <x:c r="B8" s="1" t="str"/>
      <x:c r="C8" s="1" t="str"/>
      <x:c r="D8" s="1" t="str"/>
      <x:c r="E8" s="27" t="n">
        <x:v>189.56593744277887</x:v>
      </x:c>
      <x:c r="F8" s="27" t="n">
        <x:v>6.5</x:v>
      </x:c>
      <x:c r="G8" s="27" t="n">
        <x:v>4.5</x:v>
      </x:c>
      <x:c r="H8" s="27" t="n">
        <x:v>27.157632093125123</x:v>
      </x:c>
      <x:c r="I8" s="27" t="n">
        <x:f>IF(OR(E8="",E8&lt;=0),"n.a.",J8/E8)</x:f>
        <x:v>22.22059135867436</x:v>
      </x:c>
      <x:c r="J8" s="27" t="n">
        <x:v>4212.267231440016</x:v>
      </x:c>
      <x:c r="K8" s="27"/>
      <x:c r="L8" s="27"/>
      <x:c r="M8" s="27" t="n">
        <x:v>2190</x:v>
      </x:c>
      <x:c r="N8" s="27" t="n">
        <x:v>2214.5</x:v>
      </x:c>
      <x:c r="O8" s="27" t="n">
        <x:v>11.082583011137405</x:v>
      </x:c>
      <x:c r="P8" s="27" t="n">
        <x:v>29.999999999980634</x:v>
      </x:c>
      <x:c r="Q8" s="1" t="str">
        <x:v>EXCAVATION</x:v>
      </x:c>
      <x:c r="R8" s="1" t="str">
        <x:v>MAIN_RAMP</x:v>
      </x:c>
    </x:row>
    <x:row r="9" ht="22" customHeight="1">
      <x:c r="A9" s="1" t="str">
        <x:v>RMP-V2-02</x:v>
      </x:c>
      <x:c r="B9" s="1" t="str"/>
      <x:c r="C9" s="1" t="str"/>
      <x:c r="D9" s="1" t="str"/>
      <x:c r="E9" s="27" t="n">
        <x:v>189.56593744277893</x:v>
      </x:c>
      <x:c r="F9" s="27" t="n">
        <x:v>6.5</x:v>
      </x:c>
      <x:c r="G9" s="27" t="n">
        <x:v>4.5</x:v>
      </x:c>
      <x:c r="H9" s="27" t="n">
        <x:v>27.157632093125123</x:v>
      </x:c>
      <x:c r="I9" s="27" t="n">
        <x:f>IF(OR(E9="",E9&lt;=0),"n.a.",J9/E9)</x:f>
        <x:v>22.14248821329674</x:v>
      </x:c>
      <x:c r="J9" s="27" t="n">
        <x:v>4197.46153546928</x:v>
      </x:c>
      <x:c r="K9" s="27"/>
      <x:c r="L9" s="27"/>
      <x:c r="M9" s="27" t="n">
        <x:v>2170</x:v>
      </x:c>
      <x:c r="N9" s="27" t="n">
        <x:v>2194.5</x:v>
      </x:c>
      <x:c r="O9" s="27" t="n">
        <x:v>11.082583011137501</x:v>
      </x:c>
      <x:c r="P9" s="27" t="n">
        <x:v>29.99999999998377</x:v>
      </x:c>
      <x:c r="Q9" s="1" t="str">
        <x:v>EXCAVATION</x:v>
      </x:c>
      <x:c r="R9" s="1" t="str">
        <x:v>MAIN_RAMP</x:v>
      </x:c>
    </x:row>
    <x:row r="10" ht="22" customHeight="1">
      <x:c r="A10" s="1" t="str">
        <x:v>RMP-V2-03</x:v>
      </x:c>
      <x:c r="B10" s="1" t="str"/>
      <x:c r="C10" s="1" t="str"/>
      <x:c r="D10" s="1" t="str"/>
      <x:c r="E10" s="27" t="n">
        <x:v>189.56593744277905</x:v>
      </x:c>
      <x:c r="F10" s="27" t="n">
        <x:v>6.5</x:v>
      </x:c>
      <x:c r="G10" s="27" t="n">
        <x:v>4.5</x:v>
      </x:c>
      <x:c r="H10" s="27" t="n">
        <x:v>27.157632093125123</x:v>
      </x:c>
      <x:c r="I10" s="27" t="n">
        <x:f>IF(OR(E10="",E10&lt;=0),"n.a.",J10/E10)</x:f>
        <x:v>22.29850442280922</x:v>
      </x:c>
      <x:c r="J10" s="27" t="n">
        <x:v>4227.036894481785</x:v>
      </x:c>
      <x:c r="K10" s="27"/>
      <x:c r="L10" s="27"/>
      <x:c r="M10" s="27" t="n">
        <x:v>2150</x:v>
      </x:c>
      <x:c r="N10" s="27" t="n">
        <x:v>2174.5</x:v>
      </x:c>
      <x:c r="O10" s="27" t="n">
        <x:v>11.082583011137539</x:v>
      </x:c>
      <x:c r="P10" s="27" t="n">
        <x:v>29.999999999981025</x:v>
      </x:c>
      <x:c r="Q10" s="1" t="str">
        <x:v>EXCAVATION</x:v>
      </x:c>
      <x:c r="R10" s="1" t="str">
        <x:v>MAIN_RAMP</x:v>
      </x:c>
    </x:row>
    <x:row r="11" ht="22" customHeight="1">
      <x:c r="A11" s="1" t="str">
        <x:v>RMP-V2-04</x:v>
      </x:c>
      <x:c r="B11" s="1" t="str"/>
      <x:c r="C11" s="1" t="str"/>
      <x:c r="D11" s="1" t="str"/>
      <x:c r="E11" s="27" t="n">
        <x:v>189.56593744277882</x:v>
      </x:c>
      <x:c r="F11" s="27" t="n">
        <x:v>6.5</x:v>
      </x:c>
      <x:c r="G11" s="27" t="n">
        <x:v>4.5</x:v>
      </x:c>
      <x:c r="H11" s="27" t="n">
        <x:v>27.157632093125123</x:v>
      </x:c>
      <x:c r="I11" s="27" t="n">
        <x:f>IF(OR(E11="",E11&lt;=0),"n.a.",J11/E11)</x:f>
        <x:v>22.0639881701257</x:v>
      </x:c>
      <x:c r="J11" s="27" t="n">
        <x:v>4182.58060119626</x:v>
      </x:c>
      <x:c r="K11" s="27"/>
      <x:c r="L11" s="27"/>
      <x:c r="M11" s="27" t="n">
        <x:v>2130</x:v>
      </x:c>
      <x:c r="N11" s="27" t="n">
        <x:v>2154.5</x:v>
      </x:c>
      <x:c r="O11" s="27" t="n">
        <x:v>11.08258301113756</x:v>
      </x:c>
      <x:c r="P11" s="27" t="n">
        <x:v>29.99999999998501</x:v>
      </x:c>
      <x:c r="Q11" s="1" t="str">
        <x:v>EXCAVATION</x:v>
      </x:c>
      <x:c r="R11" s="1" t="str">
        <x:v>MAIN_RAMP</x:v>
      </x:c>
    </x:row>
    <x:row r="12" ht="22" customHeight="1">
      <x:c r="A12" s="1" t="str">
        <x:v>RMP-V2-05</x:v>
      </x:c>
      <x:c r="B12" s="1" t="str"/>
      <x:c r="C12" s="1" t="str"/>
      <x:c r="D12" s="1" t="str"/>
      <x:c r="E12" s="27" t="n">
        <x:v>189.56593744277905</x:v>
      </x:c>
      <x:c r="F12" s="27" t="n">
        <x:v>6.5</x:v>
      </x:c>
      <x:c r="G12" s="27" t="n">
        <x:v>4.5</x:v>
      </x:c>
      <x:c r="H12" s="27" t="n">
        <x:v>27.157632093125123</x:v>
      </x:c>
      <x:c r="I12" s="27" t="n">
        <x:f>IF(OR(E12="",E12&lt;=0),"n.a.",J12/E12)</x:f>
        <x:v>22.367566258944073</x:v>
      </x:c>
      <x:c r="J12" s="27" t="n">
        <x:v>4240.128666190208</x:v>
      </x:c>
      <x:c r="K12" s="27"/>
      <x:c r="L12" s="27"/>
      <x:c r="M12" s="27" t="n">
        <x:v>2110</x:v>
      </x:c>
      <x:c r="N12" s="27" t="n">
        <x:v>2134.5</x:v>
      </x:c>
      <x:c r="O12" s="27" t="n">
        <x:v>11.082583011137517</x:v>
      </x:c>
      <x:c r="P12" s="27" t="n">
        <x:v>29.999999999982197</x:v>
      </x:c>
      <x:c r="Q12" s="1" t="str">
        <x:v>EXCAVATION</x:v>
      </x:c>
      <x:c r="R12" s="1" t="str">
        <x:v>MAIN_RAMP</x:v>
      </x:c>
    </x:row>
    <x:row r="13" ht="22" customHeight="1">
      <x:c r="A13" s="1" t="str">
        <x:v>ACC-N01</x:v>
      </x:c>
      <x:c r="B13" s="1" t="str"/>
      <x:c r="C13" s="1" t="str"/>
      <x:c r="D13" s="1" t="str"/>
      <x:c r="E13" s="27" t="n">
        <x:v>89.35507961247535</x:v>
      </x:c>
      <x:c r="F13" s="27" t="n">
        <x:v>4.5</x:v>
      </x:c>
      <x:c r="G13" s="27" t="n">
        <x:v>4.5</x:v>
      </x:c>
      <x:c r="H13" s="27" t="n">
        <x:v>18.801437602932776</x:v>
      </x:c>
      <x:c r="I13" s="27" t="n">
        <x:f>IF(OR(E13="",E13&lt;=0),"n.a.",J13/E13)</x:f>
        <x:v>18.76348568083109</x:v>
      </x:c>
      <x:c r="J13" s="27" t="n">
        <x:v>1676.612756818203</x:v>
      </x:c>
      <x:c r="K13" s="27"/>
      <x:c r="L13" s="27"/>
      <x:c r="M13" s="27" t="n">
        <x:v>2210</x:v>
      </x:c>
      <x:c r="N13" s="27" t="n">
        <x:v>2214.5</x:v>
      </x:c>
      <x:c r="O13" s="27" t="n">
        <x:v>0</x:v>
      </x:c>
      <x:c r="P13" s="27" t="n">
        <x:v>19.99999999997018</x:v>
      </x:c>
      <x:c r="Q13" s="1" t="str">
        <x:v>EXCAVATION</x:v>
      </x:c>
      <x:c r="R13" s="1" t="str">
        <x:v>LEVEL_ACCESS</x:v>
      </x:c>
    </x:row>
    <x:row r="14" ht="22" customHeight="1">
      <x:c r="A14" s="1" t="str">
        <x:v>GAL-N01</x:v>
      </x:c>
      <x:c r="B14" s="1" t="str"/>
      <x:c r="C14" s="1" t="str"/>
      <x:c r="D14" s="1" t="str"/>
      <x:c r="E14" s="27" t="n">
        <x:v>140</x:v>
      </x:c>
      <x:c r="F14" s="27" t="n">
        <x:v>3.5</x:v>
      </x:c>
      <x:c r="G14" s="27" t="n">
        <x:v>3.5</x:v>
      </x:c>
      <x:c r="H14" s="27" t="n">
        <x:v>11.874446785945535</x:v>
      </x:c>
      <x:c r="I14" s="27" t="n">
        <x:f>IF(OR(E14="",E14&lt;=0),"n.a.",J14/E14)</x:f>
        <x:v>11.86563225411287</x:v>
      </x:c>
      <x:c r="J14" s="27" t="n">
        <x:v>1661.1885155758016</x:v>
      </x:c>
      <x:c r="K14" s="27"/>
      <x:c r="L14" s="27"/>
      <x:c r="M14" s="27" t="n">
        <x:v>2210</x:v>
      </x:c>
      <x:c r="N14" s="27" t="n">
        <x:v>2213.5</x:v>
      </x:c>
      <x:c r="O14" s="27" t="n">
        <x:v>0</x:v>
      </x:c>
      <x:c r="P14" s="27"/>
      <x:c r="Q14" s="1" t="str">
        <x:v>EXCAVATION</x:v>
      </x:c>
      <x:c r="R14" s="1" t="str">
        <x:v>FOOTWALL_STRIKE_DRIFT</x:v>
      </x:c>
    </x:row>
    <x:row r="15" ht="22" customHeight="1">
      <x:c r="A15" s="1" t="str">
        <x:v>REF-N01</x:v>
      </x:c>
      <x:c r="B15" s="1" t="str"/>
      <x:c r="C15" s="1" t="str"/>
      <x:c r="D15" s="1" t="str"/>
      <x:c r="E15" s="27" t="n">
        <x:v>10</x:v>
      </x:c>
      <x:c r="F15" s="27" t="n">
        <x:v>5</x:v>
      </x:c>
      <x:c r="G15" s="27" t="n">
        <x:v>3.5</x:v>
      </x:c>
      <x:c r="H15" s="27" t="n">
        <x:v>16.96349540849362</x:v>
      </x:c>
      <x:c r="I15" s="27" t="n">
        <x:f>IF(OR(E15="",E15&lt;=0),"n.a.",J15/E15)</x:f>
        <x:v>16.950903220160036</x:v>
      </x:c>
      <x:c r="J15" s="27" t="n">
        <x:v>169.50903220160035</x:v>
      </x:c>
      <x:c r="K15" s="27"/>
      <x:c r="L15" s="27"/>
      <x:c r="M15" s="27" t="n">
        <x:v>2210</x:v>
      </x:c>
      <x:c r="N15" s="27" t="n">
        <x:v>2213.5</x:v>
      </x:c>
      <x:c r="O15" s="27" t="n">
        <x:v>0</x:v>
      </x:c>
      <x:c r="P15" s="27"/>
      <x:c r="Q15" s="1" t="str">
        <x:v>EXCAVATION</x:v>
      </x:c>
      <x:c r="R15" s="1" t="str">
        <x:v>REFUGE_ROOM_CONCEPTUAL</x:v>
      </x:c>
    </x:row>
    <x:row r="16" ht="22" customHeight="1">
      <x:c r="A16" s="1" t="str">
        <x:v>SUM-N01</x:v>
      </x:c>
      <x:c r="B16" s="1" t="str"/>
      <x:c r="C16" s="1" t="str"/>
      <x:c r="D16" s="1" t="str"/>
      <x:c r="E16" s="27" t="n">
        <x:v>6</x:v>
      </x:c>
      <x:c r="F16" s="27" t="n">
        <x:v>4</x:v>
      </x:c>
      <x:c r="G16" s="27" t="n">
        <x:v>3.5</x:v>
      </x:c>
      <x:c r="H16" s="27" t="n">
        <x:v>13.570796326794897</x:v>
      </x:c>
      <x:c r="I16" s="27" t="n">
        <x:f>IF(OR(E16="",E16&lt;=0),"n.a.",J16/E16)</x:f>
        <x:v>13.56072257612662</x:v>
      </x:c>
      <x:c r="J16" s="27" t="n">
        <x:v>81.36433545675972</x:v>
      </x:c>
      <x:c r="K16" s="27"/>
      <x:c r="L16" s="27"/>
      <x:c r="M16" s="27" t="n">
        <x:v>2210</x:v>
      </x:c>
      <x:c r="N16" s="27" t="n">
        <x:v>2213.5</x:v>
      </x:c>
      <x:c r="O16" s="27" t="n">
        <x:v>0</x:v>
      </x:c>
      <x:c r="P16" s="27"/>
      <x:c r="Q16" s="1" t="str">
        <x:v>EXCAVATION</x:v>
      </x:c>
      <x:c r="R16" s="1" t="str">
        <x:v>SUMP_EXCAVATION</x:v>
      </x:c>
    </x:row>
    <x:row r="17" ht="22" customHeight="1">
      <x:c r="A17" s="1" t="str">
        <x:v>CARG-N01</x:v>
      </x:c>
      <x:c r="B17" s="1" t="str"/>
      <x:c r="C17" s="1" t="str"/>
      <x:c r="D17" s="1" t="str"/>
      <x:c r="E17" s="27" t="n">
        <x:v>18</x:v>
      </x:c>
      <x:c r="F17" s="27" t="n">
        <x:v>6.5</x:v>
      </x:c>
      <x:c r="G17" s="27" t="n">
        <x:v>5</x:v>
      </x:c>
      <x:c r="H17" s="27" t="n">
        <x:v>31.802544031041705</x:v>
      </x:c>
      <x:c r="I17" s="27" t="n">
        <x:f>IF(OR(E17="",E17&lt;=0),"n.a.",J17/E17)</x:f>
        <x:v>31.786174186211106</x:v>
      </x:c>
      <x:c r="J17" s="27" t="n">
        <x:v>572.1511353517999</x:v>
      </x:c>
      <x:c r="K17" s="27"/>
      <x:c r="L17" s="27"/>
      <x:c r="M17" s="27" t="n">
        <x:v>2210</x:v>
      </x:c>
      <x:c r="N17" s="27" t="n">
        <x:v>2215</x:v>
      </x:c>
      <x:c r="O17" s="27" t="n">
        <x:v>0</x:v>
      </x:c>
      <x:c r="P17" s="27"/>
      <x:c r="Q17" s="1" t="str">
        <x:v>EXCAVATION</x:v>
      </x:c>
      <x:c r="R17" s="1" t="str">
        <x:v>LOADING_CHAMBER</x:v>
      </x:c>
    </x:row>
    <x:row r="18" ht="22" customHeight="1">
      <x:c r="A18" s="1" t="str">
        <x:v>ACC-N02</x:v>
      </x:c>
      <x:c r="B18" s="1" t="str"/>
      <x:c r="C18" s="1" t="str"/>
      <x:c r="D18" s="1" t="str"/>
      <x:c r="E18" s="27" t="n">
        <x:v>94.71406346109778</x:v>
      </x:c>
      <x:c r="F18" s="27" t="n">
        <x:v>4.5</x:v>
      </x:c>
      <x:c r="G18" s="27" t="n">
        <x:v>4.5</x:v>
      </x:c>
      <x:c r="H18" s="27" t="n">
        <x:v>18.801437602932776</x:v>
      </x:c>
      <x:c r="I18" s="27" t="n">
        <x:f>IF(OR(E18="",E18&lt;=0),"n.a.",J18/E18)</x:f>
        <x:v>18.763708685872842</x:v>
      </x:c>
      <x:c r="J18" s="27" t="n">
        <x:v>1777.1870952393122</x:v>
      </x:c>
      <x:c r="K18" s="27"/>
      <x:c r="L18" s="27"/>
      <x:c r="M18" s="27" t="n">
        <x:v>2190</x:v>
      </x:c>
      <x:c r="N18" s="27" t="n">
        <x:v>2194.5</x:v>
      </x:c>
      <x:c r="O18" s="27" t="n">
        <x:v>0</x:v>
      </x:c>
      <x:c r="P18" s="27" t="n">
        <x:v>19.99999999997117</x:v>
      </x:c>
      <x:c r="Q18" s="1" t="str">
        <x:v>EXCAVATION</x:v>
      </x:c>
      <x:c r="R18" s="1" t="str">
        <x:v>LEVEL_ACCESS</x:v>
      </x:c>
    </x:row>
    <x:row r="19" ht="22" customHeight="1">
      <x:c r="A19" s="1" t="str">
        <x:v>GAL-N02</x:v>
      </x:c>
      <x:c r="B19" s="1" t="str"/>
      <x:c r="C19" s="1" t="str"/>
      <x:c r="D19" s="1" t="str"/>
      <x:c r="E19" s="27" t="n">
        <x:v>340</x:v>
      </x:c>
      <x:c r="F19" s="27" t="n">
        <x:v>3.5</x:v>
      </x:c>
      <x:c r="G19" s="27" t="n">
        <x:v>3.5</x:v>
      </x:c>
      <x:c r="H19" s="27" t="n">
        <x:v>11.874446785945535</x:v>
      </x:c>
      <x:c r="I19" s="27" t="n">
        <x:f>IF(OR(E19="",E19&lt;=0),"n.a.",J19/E19)</x:f>
        <x:v>11.865632254113065</x:v>
      </x:c>
      <x:c r="J19" s="27" t="n">
        <x:v>4034.314966398442</x:v>
      </x:c>
      <x:c r="K19" s="27"/>
      <x:c r="L19" s="27"/>
      <x:c r="M19" s="27" t="n">
        <x:v>2190</x:v>
      </x:c>
      <x:c r="N19" s="27" t="n">
        <x:v>2193.5</x:v>
      </x:c>
      <x:c r="O19" s="27" t="n">
        <x:v>0</x:v>
      </x:c>
      <x:c r="P19" s="27"/>
      <x:c r="Q19" s="1" t="str">
        <x:v>EXCAVATION</x:v>
      </x:c>
      <x:c r="R19" s="1" t="str">
        <x:v>FOOTWALL_STRIKE_DRIFT</x:v>
      </x:c>
    </x:row>
    <x:row r="20" ht="22" customHeight="1">
      <x:c r="A20" s="1" t="str">
        <x:v>REF-N02</x:v>
      </x:c>
      <x:c r="B20" s="1" t="str"/>
      <x:c r="C20" s="1" t="str"/>
      <x:c r="D20" s="1" t="str"/>
      <x:c r="E20" s="27" t="n">
        <x:v>10</x:v>
      </x:c>
      <x:c r="F20" s="27" t="n">
        <x:v>5</x:v>
      </x:c>
      <x:c r="G20" s="27" t="n">
        <x:v>3.5</x:v>
      </x:c>
      <x:c r="H20" s="27" t="n">
        <x:v>16.96349540849362</x:v>
      </x:c>
      <x:c r="I20" s="27" t="n">
        <x:f>IF(OR(E20="",E20&lt;=0),"n.a.",J20/E20)</x:f>
        <x:v>16.95090322016282</x:v>
      </x:c>
      <x:c r="J20" s="27" t="n">
        <x:v>169.50903220162823</x:v>
      </x:c>
      <x:c r="K20" s="27"/>
      <x:c r="L20" s="27"/>
      <x:c r="M20" s="27" t="n">
        <x:v>2190</x:v>
      </x:c>
      <x:c r="N20" s="27" t="n">
        <x:v>2193.5</x:v>
      </x:c>
      <x:c r="O20" s="27" t="n">
        <x:v>0</x:v>
      </x:c>
      <x:c r="P20" s="27"/>
      <x:c r="Q20" s="1" t="str">
        <x:v>EXCAVATION</x:v>
      </x:c>
      <x:c r="R20" s="1" t="str">
        <x:v>REFUGE_ROOM_CONCEPTUAL</x:v>
      </x:c>
    </x:row>
    <x:row r="21" ht="22" customHeight="1">
      <x:c r="A21" s="1" t="str">
        <x:v>SUM-N02</x:v>
      </x:c>
      <x:c r="B21" s="1" t="str"/>
      <x:c r="C21" s="1" t="str"/>
      <x:c r="D21" s="1" t="str"/>
      <x:c r="E21" s="27" t="n">
        <x:v>6</x:v>
      </x:c>
      <x:c r="F21" s="27" t="n">
        <x:v>4</x:v>
      </x:c>
      <x:c r="G21" s="27" t="n">
        <x:v>3.5</x:v>
      </x:c>
      <x:c r="H21" s="27" t="n">
        <x:v>13.570796326794897</x:v>
      </x:c>
      <x:c r="I21" s="27" t="n">
        <x:f>IF(OR(E21="",E21&lt;=0),"n.a.",J21/E21)</x:f>
        <x:v>13.560722576126288</x:v>
      </x:c>
      <x:c r="J21" s="27" t="n">
        <x:v>81.36433545675773</x:v>
      </x:c>
      <x:c r="K21" s="27"/>
      <x:c r="L21" s="27"/>
      <x:c r="M21" s="27" t="n">
        <x:v>2190</x:v>
      </x:c>
      <x:c r="N21" s="27" t="n">
        <x:v>2193.5</x:v>
      </x:c>
      <x:c r="O21" s="27" t="n">
        <x:v>0</x:v>
      </x:c>
      <x:c r="P21" s="27"/>
      <x:c r="Q21" s="1" t="str">
        <x:v>EXCAVATION</x:v>
      </x:c>
      <x:c r="R21" s="1" t="str">
        <x:v>SUMP_EXCAVATION</x:v>
      </x:c>
    </x:row>
    <x:row r="22" ht="22" customHeight="1">
      <x:c r="A22" s="1" t="str">
        <x:v>CARG-N02</x:v>
      </x:c>
      <x:c r="B22" s="1" t="str"/>
      <x:c r="C22" s="1" t="str"/>
      <x:c r="D22" s="1" t="str"/>
      <x:c r="E22" s="27" t="n">
        <x:v>18</x:v>
      </x:c>
      <x:c r="F22" s="27" t="n">
        <x:v>6.5</x:v>
      </x:c>
      <x:c r="G22" s="27" t="n">
        <x:v>5</x:v>
      </x:c>
      <x:c r="H22" s="27" t="n">
        <x:v>31.802544031041705</x:v>
      </x:c>
      <x:c r="I22" s="27" t="n">
        <x:f>IF(OR(E22="",E22&lt;=0),"n.a.",J22/E22)</x:f>
        <x:v>31.786174186209355</x:v>
      </x:c>
      <x:c r="J22" s="27" t="n">
        <x:v>572.1511353517684</x:v>
      </x:c>
      <x:c r="K22" s="27"/>
      <x:c r="L22" s="27"/>
      <x:c r="M22" s="27" t="n">
        <x:v>2190</x:v>
      </x:c>
      <x:c r="N22" s="27" t="n">
        <x:v>2195</x:v>
      </x:c>
      <x:c r="O22" s="27" t="n">
        <x:v>0</x:v>
      </x:c>
      <x:c r="P22" s="27"/>
      <x:c r="Q22" s="1" t="str">
        <x:v>EXCAVATION</x:v>
      </x:c>
      <x:c r="R22" s="1" t="str">
        <x:v>LOADING_CHAMBER</x:v>
      </x:c>
    </x:row>
    <x:row r="23" ht="22" customHeight="1">
      <x:c r="A23" s="1" t="str">
        <x:v>ACC-N03</x:v>
      </x:c>
      <x:c r="B23" s="1" t="str"/>
      <x:c r="C23" s="1" t="str"/>
      <x:c r="D23" s="1" t="str"/>
      <x:c r="E23" s="27" t="n">
        <x:v>100.07304730972022</x:v>
      </x:c>
      <x:c r="F23" s="27" t="n">
        <x:v>4.5</x:v>
      </x:c>
      <x:c r="G23" s="27" t="n">
        <x:v>4.5</x:v>
      </x:c>
      <x:c r="H23" s="27" t="n">
        <x:v>18.801437602932776</x:v>
      </x:c>
      <x:c r="I23" s="27" t="n">
        <x:f>IF(OR(E23="",E23&lt;=0),"n.a.",J23/E23)</x:f>
        <x:v>18.763908633502876</x:v>
      </x:c>
      <x:c r="J23" s="27" t="n">
        <x:v>1877.761516395801</x:v>
      </x:c>
      <x:c r="K23" s="27"/>
      <x:c r="L23" s="27"/>
      <x:c r="M23" s="27" t="n">
        <x:v>2170</x:v>
      </x:c>
      <x:c r="N23" s="27" t="n">
        <x:v>2174.5</x:v>
      </x:c>
      <x:c r="O23" s="27" t="n">
        <x:v>0</x:v>
      </x:c>
      <x:c r="P23" s="27" t="n">
        <x:v>19.99999999997018</x:v>
      </x:c>
      <x:c r="Q23" s="1" t="str">
        <x:v>EXCAVATION</x:v>
      </x:c>
      <x:c r="R23" s="1" t="str">
        <x:v>LEVEL_ACCESS</x:v>
      </x:c>
    </x:row>
    <x:row r="24" ht="22" customHeight="1">
      <x:c r="A24" s="1" t="str">
        <x:v>GAL-N03</x:v>
      </x:c>
      <x:c r="B24" s="1" t="str"/>
      <x:c r="C24" s="1" t="str"/>
      <x:c r="D24" s="1" t="str"/>
      <x:c r="E24" s="27" t="n">
        <x:v>340</x:v>
      </x:c>
      <x:c r="F24" s="27" t="n">
        <x:v>3.5</x:v>
      </x:c>
      <x:c r="G24" s="27" t="n">
        <x:v>3.5</x:v>
      </x:c>
      <x:c r="H24" s="27" t="n">
        <x:v>11.874446785945535</x:v>
      </x:c>
      <x:c r="I24" s="27" t="n">
        <x:f>IF(OR(E24="",E24&lt;=0),"n.a.",J24/E24)</x:f>
        <x:v>11.86563225411292</x:v>
      </x:c>
      <x:c r="J24" s="27" t="n">
        <x:v>4034.314966398393</x:v>
      </x:c>
      <x:c r="K24" s="27"/>
      <x:c r="L24" s="27"/>
      <x:c r="M24" s="27" t="n">
        <x:v>2170</x:v>
      </x:c>
      <x:c r="N24" s="27" t="n">
        <x:v>2173.5</x:v>
      </x:c>
      <x:c r="O24" s="27" t="n">
        <x:v>0</x:v>
      </x:c>
      <x:c r="P24" s="27"/>
      <x:c r="Q24" s="1" t="str">
        <x:v>EXCAVATION</x:v>
      </x:c>
      <x:c r="R24" s="1" t="str">
        <x:v>FOOTWALL_STRIKE_DRIFT</x:v>
      </x:c>
    </x:row>
    <x:row r="25" ht="22" customHeight="1">
      <x:c r="A25" s="1" t="str">
        <x:v>REF-N03</x:v>
      </x:c>
      <x:c r="B25" s="1" t="str"/>
      <x:c r="C25" s="1" t="str"/>
      <x:c r="D25" s="1" t="str"/>
      <x:c r="E25" s="27" t="n">
        <x:v>10</x:v>
      </x:c>
      <x:c r="F25" s="27" t="n">
        <x:v>5</x:v>
      </x:c>
      <x:c r="G25" s="27" t="n">
        <x:v>3.5</x:v>
      </x:c>
      <x:c r="H25" s="27" t="n">
        <x:v>16.96349540849362</x:v>
      </x:c>
      <x:c r="I25" s="27" t="n">
        <x:f>IF(OR(E25="",E25&lt;=0),"n.a.",J25/E25)</x:f>
        <x:v>16.95090322016076</x:v>
      </x:c>
      <x:c r="J25" s="27" t="n">
        <x:v>169.50903220160762</x:v>
      </x:c>
      <x:c r="K25" s="27"/>
      <x:c r="L25" s="27"/>
      <x:c r="M25" s="27" t="n">
        <x:v>2170</x:v>
      </x:c>
      <x:c r="N25" s="27" t="n">
        <x:v>2173.5</x:v>
      </x:c>
      <x:c r="O25" s="27" t="n">
        <x:v>0</x:v>
      </x:c>
      <x:c r="P25" s="27"/>
      <x:c r="Q25" s="1" t="str">
        <x:v>EXCAVATION</x:v>
      </x:c>
      <x:c r="R25" s="1" t="str">
        <x:v>REFUGE_ROOM_CONCEPTUAL</x:v>
      </x:c>
    </x:row>
    <x:row r="26" ht="22" customHeight="1">
      <x:c r="A26" s="1" t="str">
        <x:v>SUM-N03</x:v>
      </x:c>
      <x:c r="B26" s="1" t="str"/>
      <x:c r="C26" s="1" t="str"/>
      <x:c r="D26" s="1" t="str"/>
      <x:c r="E26" s="27" t="n">
        <x:v>6</x:v>
      </x:c>
      <x:c r="F26" s="27" t="n">
        <x:v>4</x:v>
      </x:c>
      <x:c r="G26" s="27" t="n">
        <x:v>3.5</x:v>
      </x:c>
      <x:c r="H26" s="27" t="n">
        <x:v>13.570796326794897</x:v>
      </x:c>
      <x:c r="I26" s="27" t="n">
        <x:f>IF(OR(E26="",E26&lt;=0),"n.a.",J26/E26)</x:f>
        <x:v>13.560722576132058</x:v>
      </x:c>
      <x:c r="J26" s="27" t="n">
        <x:v>81.36433545679235</x:v>
      </x:c>
      <x:c r="K26" s="27"/>
      <x:c r="L26" s="27"/>
      <x:c r="M26" s="27" t="n">
        <x:v>2170</x:v>
      </x:c>
      <x:c r="N26" s="27" t="n">
        <x:v>2173.5</x:v>
      </x:c>
      <x:c r="O26" s="27" t="n">
        <x:v>0</x:v>
      </x:c>
      <x:c r="P26" s="27"/>
      <x:c r="Q26" s="1" t="str">
        <x:v>EXCAVATION</x:v>
      </x:c>
      <x:c r="R26" s="1" t="str">
        <x:v>SUMP_EXCAVATION</x:v>
      </x:c>
    </x:row>
    <x:row r="27" ht="22" customHeight="1">
      <x:c r="A27" s="1" t="str">
        <x:v>CARG-N03</x:v>
      </x:c>
      <x:c r="B27" s="1" t="str"/>
      <x:c r="C27" s="1" t="str"/>
      <x:c r="D27" s="1" t="str"/>
      <x:c r="E27" s="27" t="n">
        <x:v>18</x:v>
      </x:c>
      <x:c r="F27" s="27" t="n">
        <x:v>6.5</x:v>
      </x:c>
      <x:c r="G27" s="27" t="n">
        <x:v>5</x:v>
      </x:c>
      <x:c r="H27" s="27" t="n">
        <x:v>31.802544031041705</x:v>
      </x:c>
      <x:c r="I27" s="27" t="n">
        <x:f>IF(OR(E27="",E27&lt;=0),"n.a.",J27/E27)</x:f>
        <x:v>31.78617418620868</x:v>
      </x:c>
      <x:c r="J27" s="27" t="n">
        <x:v>572.1511353517562</x:v>
      </x:c>
      <x:c r="K27" s="27"/>
      <x:c r="L27" s="27"/>
      <x:c r="M27" s="27" t="n">
        <x:v>2170</x:v>
      </x:c>
      <x:c r="N27" s="27" t="n">
        <x:v>2175</x:v>
      </x:c>
      <x:c r="O27" s="27" t="n">
        <x:v>0</x:v>
      </x:c>
      <x:c r="P27" s="27"/>
      <x:c r="Q27" s="1" t="str">
        <x:v>EXCAVATION</x:v>
      </x:c>
      <x:c r="R27" s="1" t="str">
        <x:v>LOADING_CHAMBER</x:v>
      </x:c>
    </x:row>
    <x:row r="28" ht="22" customHeight="1">
      <x:c r="A28" s="1" t="str">
        <x:v>ACC-N04</x:v>
      </x:c>
      <x:c r="B28" s="1" t="str"/>
      <x:c r="C28" s="1" t="str"/>
      <x:c r="D28" s="1" t="str"/>
      <x:c r="E28" s="27" t="n">
        <x:v>105.4320311583427</x:v>
      </x:c>
      <x:c r="F28" s="27" t="n">
        <x:v>4.5</x:v>
      </x:c>
      <x:c r="G28" s="27" t="n">
        <x:v>4.5</x:v>
      </x:c>
      <x:c r="H28" s="27" t="n">
        <x:v>18.801437602932776</x:v>
      </x:c>
      <x:c r="I28" s="27" t="n">
        <x:f>IF(OR(E28="",E28&lt;=0),"n.a.",J28/E28)</x:f>
        <x:v>18.76408820509767</x:v>
      </x:c>
      <x:c r="J28" s="27" t="n">
        <x:v>1978.3359322977485</x:v>
      </x:c>
      <x:c r="K28" s="27"/>
      <x:c r="L28" s="27"/>
      <x:c r="M28" s="27" t="n">
        <x:v>2150</x:v>
      </x:c>
      <x:c r="N28" s="27" t="n">
        <x:v>2154.5</x:v>
      </x:c>
      <x:c r="O28" s="27" t="n">
        <x:v>0</x:v>
      </x:c>
      <x:c r="P28" s="27" t="n">
        <x:v>19.99999999997018</x:v>
      </x:c>
      <x:c r="Q28" s="1" t="str">
        <x:v>EXCAVATION</x:v>
      </x:c>
      <x:c r="R28" s="1" t="str">
        <x:v>LEVEL_ACCESS</x:v>
      </x:c>
    </x:row>
    <x:row r="29" ht="22" customHeight="1">
      <x:c r="A29" s="1" t="str">
        <x:v>GAL-N04</x:v>
      </x:c>
      <x:c r="B29" s="1" t="str"/>
      <x:c r="C29" s="1" t="str"/>
      <x:c r="D29" s="1" t="str"/>
      <x:c r="E29" s="27" t="n">
        <x:v>340</x:v>
      </x:c>
      <x:c r="F29" s="27" t="n">
        <x:v>3.5</x:v>
      </x:c>
      <x:c r="G29" s="27" t="n">
        <x:v>3.5</x:v>
      </x:c>
      <x:c r="H29" s="27" t="n">
        <x:v>11.874446785945535</x:v>
      </x:c>
      <x:c r="I29" s="27" t="n">
        <x:f>IF(OR(E29="",E29&lt;=0),"n.a.",J29/E29)</x:f>
        <x:v>11.865632254112707</x:v>
      </x:c>
      <x:c r="J29" s="27" t="n">
        <x:v>4034.3149663983204</x:v>
      </x:c>
      <x:c r="K29" s="27"/>
      <x:c r="L29" s="27"/>
      <x:c r="M29" s="27" t="n">
        <x:v>2150</x:v>
      </x:c>
      <x:c r="N29" s="27" t="n">
        <x:v>2153.5</x:v>
      </x:c>
      <x:c r="O29" s="27" t="n">
        <x:v>0</x:v>
      </x:c>
      <x:c r="P29" s="27"/>
      <x:c r="Q29" s="1" t="str">
        <x:v>EXCAVATION</x:v>
      </x:c>
      <x:c r="R29" s="1" t="str">
        <x:v>FOOTWALL_STRIKE_DRIFT</x:v>
      </x:c>
    </x:row>
    <x:row r="30" ht="22" customHeight="1">
      <x:c r="A30" s="1" t="str">
        <x:v>REF-N04</x:v>
      </x:c>
      <x:c r="B30" s="1" t="str"/>
      <x:c r="C30" s="1" t="str"/>
      <x:c r="D30" s="1" t="str"/>
      <x:c r="E30" s="27" t="n">
        <x:v>10</x:v>
      </x:c>
      <x:c r="F30" s="27" t="n">
        <x:v>5</x:v>
      </x:c>
      <x:c r="G30" s="27" t="n">
        <x:v>3.5</x:v>
      </x:c>
      <x:c r="H30" s="27" t="n">
        <x:v>16.96349540849362</x:v>
      </x:c>
      <x:c r="I30" s="27" t="n">
        <x:f>IF(OR(E30="",E30&lt;=0),"n.a.",J30/E30)</x:f>
        <x:v>16.9509032201604</x:v>
      </x:c>
      <x:c r="J30" s="27" t="n">
        <x:v>169.509032201604</x:v>
      </x:c>
      <x:c r="K30" s="27"/>
      <x:c r="L30" s="27"/>
      <x:c r="M30" s="27" t="n">
        <x:v>2150</x:v>
      </x:c>
      <x:c r="N30" s="27" t="n">
        <x:v>2153.5</x:v>
      </x:c>
      <x:c r="O30" s="27" t="n">
        <x:v>0</x:v>
      </x:c>
      <x:c r="P30" s="27"/>
      <x:c r="Q30" s="1" t="str">
        <x:v>EXCAVATION</x:v>
      </x:c>
      <x:c r="R30" s="1" t="str">
        <x:v>REFUGE_ROOM_CONCEPTUAL</x:v>
      </x:c>
    </x:row>
    <x:row r="31" ht="22" customHeight="1">
      <x:c r="A31" s="1" t="str">
        <x:v>SUM-N04</x:v>
      </x:c>
      <x:c r="B31" s="1" t="str"/>
      <x:c r="C31" s="1" t="str"/>
      <x:c r="D31" s="1" t="str"/>
      <x:c r="E31" s="27" t="n">
        <x:v>6</x:v>
      </x:c>
      <x:c r="F31" s="27" t="n">
        <x:v>4</x:v>
      </x:c>
      <x:c r="G31" s="27" t="n">
        <x:v>3.5</x:v>
      </x:c>
      <x:c r="H31" s="27" t="n">
        <x:v>13.570796326794897</x:v>
      </x:c>
      <x:c r="I31" s="27" t="n">
        <x:f>IF(OR(E31="",E31&lt;=0),"n.a.",J31/E31)</x:f>
        <x:v>13.560722576127581</x:v>
      </x:c>
      <x:c r="J31" s="27" t="n">
        <x:v>81.36433545676549</x:v>
      </x:c>
      <x:c r="K31" s="27"/>
      <x:c r="L31" s="27"/>
      <x:c r="M31" s="27" t="n">
        <x:v>2150</x:v>
      </x:c>
      <x:c r="N31" s="27" t="n">
        <x:v>2153.5</x:v>
      </x:c>
      <x:c r="O31" s="27" t="n">
        <x:v>0</x:v>
      </x:c>
      <x:c r="P31" s="27"/>
      <x:c r="Q31" s="1" t="str">
        <x:v>EXCAVATION</x:v>
      </x:c>
      <x:c r="R31" s="1" t="str">
        <x:v>SUMP_EXCAVATION</x:v>
      </x:c>
    </x:row>
    <x:row r="32" ht="22" customHeight="1">
      <x:c r="A32" s="1" t="str">
        <x:v>CARG-N04</x:v>
      </x:c>
      <x:c r="B32" s="1" t="str"/>
      <x:c r="C32" s="1" t="str"/>
      <x:c r="D32" s="1" t="str"/>
      <x:c r="E32" s="27" t="n">
        <x:v>18</x:v>
      </x:c>
      <x:c r="F32" s="27" t="n">
        <x:v>6.5</x:v>
      </x:c>
      <x:c r="G32" s="27" t="n">
        <x:v>5</x:v>
      </x:c>
      <x:c r="H32" s="27" t="n">
        <x:v>31.802544031041705</x:v>
      </x:c>
      <x:c r="I32" s="27" t="n">
        <x:f>IF(OR(E32="",E32&lt;=0),"n.a.",J32/E32)</x:f>
        <x:v>31.786174186208953</x:v>
      </x:c>
      <x:c r="J32" s="27" t="n">
        <x:v>572.1511353517611</x:v>
      </x:c>
      <x:c r="K32" s="27"/>
      <x:c r="L32" s="27"/>
      <x:c r="M32" s="27" t="n">
        <x:v>2150</x:v>
      </x:c>
      <x:c r="N32" s="27" t="n">
        <x:v>2155</x:v>
      </x:c>
      <x:c r="O32" s="27" t="n">
        <x:v>0</x:v>
      </x:c>
      <x:c r="P32" s="27"/>
      <x:c r="Q32" s="1" t="str">
        <x:v>EXCAVATION</x:v>
      </x:c>
      <x:c r="R32" s="1" t="str">
        <x:v>LOADING_CHAMBER</x:v>
      </x:c>
    </x:row>
    <x:row r="33" ht="22" customHeight="1">
      <x:c r="A33" s="1" t="str">
        <x:v>ACC-N05</x:v>
      </x:c>
      <x:c r="B33" s="1" t="str"/>
      <x:c r="C33" s="1" t="str"/>
      <x:c r="D33" s="1" t="str"/>
      <x:c r="E33" s="27" t="n">
        <x:v>110.79101500696514</x:v>
      </x:c>
      <x:c r="F33" s="27" t="n">
        <x:v>4.5</x:v>
      </x:c>
      <x:c r="G33" s="27" t="n">
        <x:v>4.5</x:v>
      </x:c>
      <x:c r="H33" s="27" t="n">
        <x:v>18.801437602932776</x:v>
      </x:c>
      <x:c r="I33" s="27" t="n">
        <x:f>IF(OR(E33="",E33&lt;=0),"n.a.",J33/E33)</x:f>
        <x:v>18.764249919021918</x:v>
      </x:c>
      <x:c r="J33" s="27" t="n">
        <x:v>2078.9102943728017</x:v>
      </x:c>
      <x:c r="K33" s="27"/>
      <x:c r="L33" s="27"/>
      <x:c r="M33" s="27" t="n">
        <x:v>2130</x:v>
      </x:c>
      <x:c r="N33" s="27" t="n">
        <x:v>2134.5</x:v>
      </x:c>
      <x:c r="O33" s="27" t="n">
        <x:v>0</x:v>
      </x:c>
      <x:c r="P33" s="27" t="n">
        <x:v>19.99999999997117</x:v>
      </x:c>
      <x:c r="Q33" s="1" t="str">
        <x:v>EXCAVATION</x:v>
      </x:c>
      <x:c r="R33" s="1" t="str">
        <x:v>LEVEL_ACCESS</x:v>
      </x:c>
    </x:row>
    <x:row r="34" ht="22" customHeight="1">
      <x:c r="A34" s="1" t="str">
        <x:v>GAL-N05</x:v>
      </x:c>
      <x:c r="B34" s="1" t="str"/>
      <x:c r="C34" s="1" t="str"/>
      <x:c r="D34" s="1" t="str"/>
      <x:c r="E34" s="27" t="n">
        <x:v>340</x:v>
      </x:c>
      <x:c r="F34" s="27" t="n">
        <x:v>3.5</x:v>
      </x:c>
      <x:c r="G34" s="27" t="n">
        <x:v>3.5</x:v>
      </x:c>
      <x:c r="H34" s="27" t="n">
        <x:v>11.874446785945535</x:v>
      </x:c>
      <x:c r="I34" s="27" t="n">
        <x:f>IF(OR(E34="",E34&lt;=0),"n.a.",J34/E34)</x:f>
        <x:v>11.865632254112622</x:v>
      </x:c>
      <x:c r="J34" s="27" t="n">
        <x:v>4034.3149663982913</x:v>
      </x:c>
      <x:c r="K34" s="27"/>
      <x:c r="L34" s="27"/>
      <x:c r="M34" s="27" t="n">
        <x:v>2130</x:v>
      </x:c>
      <x:c r="N34" s="27" t="n">
        <x:v>2133.5</x:v>
      </x:c>
      <x:c r="O34" s="27" t="n">
        <x:v>0</x:v>
      </x:c>
      <x:c r="P34" s="27"/>
      <x:c r="Q34" s="1" t="str">
        <x:v>EXCAVATION</x:v>
      </x:c>
      <x:c r="R34" s="1" t="str">
        <x:v>FOOTWALL_STRIKE_DRIFT</x:v>
      </x:c>
    </x:row>
    <x:row r="35" ht="22" customHeight="1">
      <x:c r="A35" s="1" t="str">
        <x:v>REF-N05</x:v>
      </x:c>
      <x:c r="B35" s="1" t="str"/>
      <x:c r="C35" s="1" t="str"/>
      <x:c r="D35" s="1" t="str"/>
      <x:c r="E35" s="27" t="n">
        <x:v>10</x:v>
      </x:c>
      <x:c r="F35" s="27" t="n">
        <x:v>5</x:v>
      </x:c>
      <x:c r="G35" s="27" t="n">
        <x:v>3.5</x:v>
      </x:c>
      <x:c r="H35" s="27" t="n">
        <x:v>16.96349540849362</x:v>
      </x:c>
      <x:c r="I35" s="27" t="n">
        <x:f>IF(OR(E35="",E35&lt;=0),"n.a.",J35/E35)</x:f>
        <x:v>16.950903220162704</x:v>
      </x:c>
      <x:c r="J35" s="27" t="n">
        <x:v>169.50903220162704</x:v>
      </x:c>
      <x:c r="K35" s="27"/>
      <x:c r="L35" s="27"/>
      <x:c r="M35" s="27" t="n">
        <x:v>2130</x:v>
      </x:c>
      <x:c r="N35" s="27" t="n">
        <x:v>2133.5</x:v>
      </x:c>
      <x:c r="O35" s="27" t="n">
        <x:v>0</x:v>
      </x:c>
      <x:c r="P35" s="27"/>
      <x:c r="Q35" s="1" t="str">
        <x:v>EXCAVATION</x:v>
      </x:c>
      <x:c r="R35" s="1" t="str">
        <x:v>REFUGE_ROOM_CONCEPTUAL</x:v>
      </x:c>
    </x:row>
    <x:row r="36" ht="22" customHeight="1">
      <x:c r="A36" s="1" t="str">
        <x:v>SUM-N05</x:v>
      </x:c>
      <x:c r="B36" s="1" t="str"/>
      <x:c r="C36" s="1" t="str"/>
      <x:c r="D36" s="1" t="str"/>
      <x:c r="E36" s="27" t="n">
        <x:v>6</x:v>
      </x:c>
      <x:c r="F36" s="27" t="n">
        <x:v>4</x:v>
      </x:c>
      <x:c r="G36" s="27" t="n">
        <x:v>3.5</x:v>
      </x:c>
      <x:c r="H36" s="27" t="n">
        <x:v>13.570796326794897</x:v>
      </x:c>
      <x:c r="I36" s="27" t="n">
        <x:f>IF(OR(E36="",E36&lt;=0),"n.a.",J36/E36)</x:f>
        <x:v>13.560722576131157</x:v>
      </x:c>
      <x:c r="J36" s="27" t="n">
        <x:v>81.36433545678695</x:v>
      </x:c>
      <x:c r="K36" s="27"/>
      <x:c r="L36" s="27"/>
      <x:c r="M36" s="27" t="n">
        <x:v>2130</x:v>
      </x:c>
      <x:c r="N36" s="27" t="n">
        <x:v>2133.5</x:v>
      </x:c>
      <x:c r="O36" s="27" t="n">
        <x:v>0</x:v>
      </x:c>
      <x:c r="P36" s="27"/>
      <x:c r="Q36" s="1" t="str">
        <x:v>EXCAVATION</x:v>
      </x:c>
      <x:c r="R36" s="1" t="str">
        <x:v>SUMP_EXCAVATION</x:v>
      </x:c>
    </x:row>
    <x:row r="37" ht="22" customHeight="1">
      <x:c r="A37" s="1" t="str">
        <x:v>CARG-N05</x:v>
      </x:c>
      <x:c r="B37" s="1" t="str"/>
      <x:c r="C37" s="1" t="str"/>
      <x:c r="D37" s="1" t="str"/>
      <x:c r="E37" s="27" t="n">
        <x:v>18</x:v>
      </x:c>
      <x:c r="F37" s="27" t="n">
        <x:v>6.5</x:v>
      </x:c>
      <x:c r="G37" s="27" t="n">
        <x:v>5</x:v>
      </x:c>
      <x:c r="H37" s="27" t="n">
        <x:v>31.802544031041705</x:v>
      </x:c>
      <x:c r="I37" s="27" t="n">
        <x:f>IF(OR(E37="",E37&lt;=0),"n.a.",J37/E37)</x:f>
        <x:v>31.786174186206527</x:v>
      </x:c>
      <x:c r="J37" s="27" t="n">
        <x:v>572.1511353517175</x:v>
      </x:c>
      <x:c r="K37" s="27"/>
      <x:c r="L37" s="27"/>
      <x:c r="M37" s="27" t="n">
        <x:v>2130</x:v>
      </x:c>
      <x:c r="N37" s="27" t="n">
        <x:v>2135</x:v>
      </x:c>
      <x:c r="O37" s="27" t="n">
        <x:v>0</x:v>
      </x:c>
      <x:c r="P37" s="27"/>
      <x:c r="Q37" s="1" t="str">
        <x:v>EXCAVATION</x:v>
      </x:c>
      <x:c r="R37" s="1" t="str">
        <x:v>LOADING_CHAMBER</x:v>
      </x:c>
    </x:row>
    <x:row r="38" ht="22" customHeight="1">
      <x:c r="A38" s="1" t="str">
        <x:v>ACC-N06</x:v>
      </x:c>
      <x:c r="B38" s="1" t="str"/>
      <x:c r="C38" s="1" t="str"/>
      <x:c r="D38" s="1" t="str"/>
      <x:c r="E38" s="27" t="n">
        <x:v>116.1499988555876</x:v>
      </x:c>
      <x:c r="F38" s="27" t="n">
        <x:v>4.5</x:v>
      </x:c>
      <x:c r="G38" s="27" t="n">
        <x:v>4.5</x:v>
      </x:c>
      <x:c r="H38" s="27" t="n">
        <x:v>18.801437602932776</x:v>
      </x:c>
      <x:c r="I38" s="27" t="n">
        <x:f>IF(OR(E38="",E38&lt;=0),"n.a.",J38/E38)</x:f>
        <x:v>18.764397169760294</x:v>
      </x:c>
      <x:c r="J38" s="27" t="n">
        <x:v>2179.4847097934494</x:v>
      </x:c>
      <x:c r="K38" s="27"/>
      <x:c r="L38" s="27"/>
      <x:c r="M38" s="27" t="n">
        <x:v>2110</x:v>
      </x:c>
      <x:c r="N38" s="27" t="n">
        <x:v>2114.5</x:v>
      </x:c>
      <x:c r="O38" s="27" t="n">
        <x:v>0</x:v>
      </x:c>
      <x:c r="P38" s="27" t="n">
        <x:v>19.99999999997018</x:v>
      </x:c>
      <x:c r="Q38" s="1" t="str">
        <x:v>EXCAVATION</x:v>
      </x:c>
      <x:c r="R38" s="1" t="str">
        <x:v>LEVEL_ACCESS</x:v>
      </x:c>
    </x:row>
    <x:row r="39" ht="22" customHeight="1">
      <x:c r="A39" s="1" t="str">
        <x:v>GAL-N06</x:v>
      </x:c>
      <x:c r="B39" s="1" t="str"/>
      <x:c r="C39" s="1" t="str"/>
      <x:c r="D39" s="1" t="str"/>
      <x:c r="E39" s="27" t="n">
        <x:v>340</x:v>
      </x:c>
      <x:c r="F39" s="27" t="n">
        <x:v>3.5</x:v>
      </x:c>
      <x:c r="G39" s="27" t="n">
        <x:v>3.5</x:v>
      </x:c>
      <x:c r="H39" s="27" t="n">
        <x:v>11.874446785945535</x:v>
      </x:c>
      <x:c r="I39" s="27" t="n">
        <x:f>IF(OR(E39="",E39&lt;=0),"n.a.",J39/E39)</x:f>
        <x:v>11.865632254112935</x:v>
      </x:c>
      <x:c r="J39" s="27" t="n">
        <x:v>4034.314966398398</x:v>
      </x:c>
      <x:c r="K39" s="27"/>
      <x:c r="L39" s="27"/>
      <x:c r="M39" s="27" t="n">
        <x:v>2110</x:v>
      </x:c>
      <x:c r="N39" s="27" t="n">
        <x:v>2113.5</x:v>
      </x:c>
      <x:c r="O39" s="27" t="n">
        <x:v>0</x:v>
      </x:c>
      <x:c r="P39" s="27"/>
      <x:c r="Q39" s="1" t="str">
        <x:v>EXCAVATION</x:v>
      </x:c>
      <x:c r="R39" s="1" t="str">
        <x:v>FOOTWALL_STRIKE_DRIFT</x:v>
      </x:c>
    </x:row>
    <x:row r="40" ht="22" customHeight="1">
      <x:c r="A40" s="1" t="str">
        <x:v>REF-N06</x:v>
      </x:c>
      <x:c r="B40" s="1" t="str"/>
      <x:c r="C40" s="1" t="str"/>
      <x:c r="D40" s="1" t="str"/>
      <x:c r="E40" s="27" t="n">
        <x:v>10</x:v>
      </x:c>
      <x:c r="F40" s="27" t="n">
        <x:v>5</x:v>
      </x:c>
      <x:c r="G40" s="27" t="n">
        <x:v>3.5</x:v>
      </x:c>
      <x:c r="H40" s="27" t="n">
        <x:v>16.96349540849362</x:v>
      </x:c>
      <x:c r="I40" s="27" t="n">
        <x:f>IF(OR(E40="",E40&lt;=0),"n.a.",J40/E40)</x:f>
        <x:v>16.950903220162946</x:v>
      </x:c>
      <x:c r="J40" s="27" t="n">
        <x:v>169.50903220162945</x:v>
      </x:c>
      <x:c r="K40" s="27"/>
      <x:c r="L40" s="27"/>
      <x:c r="M40" s="27" t="n">
        <x:v>2110</x:v>
      </x:c>
      <x:c r="N40" s="27" t="n">
        <x:v>2113.5</x:v>
      </x:c>
      <x:c r="O40" s="27" t="n">
        <x:v>0</x:v>
      </x:c>
      <x:c r="P40" s="27"/>
      <x:c r="Q40" s="1" t="str">
        <x:v>EXCAVATION</x:v>
      </x:c>
      <x:c r="R40" s="1" t="str">
        <x:v>REFUGE_ROOM_CONCEPTUAL</x:v>
      </x:c>
    </x:row>
    <x:row r="41" ht="22" customHeight="1">
      <x:c r="A41" s="1" t="str">
        <x:v>SUM-N06</x:v>
      </x:c>
      <x:c r="B41" s="1" t="str"/>
      <x:c r="C41" s="1" t="str"/>
      <x:c r="D41" s="1" t="str"/>
      <x:c r="E41" s="27" t="n">
        <x:v>6</x:v>
      </x:c>
      <x:c r="F41" s="27" t="n">
        <x:v>4</x:v>
      </x:c>
      <x:c r="G41" s="27" t="n">
        <x:v>3.5</x:v>
      </x:c>
      <x:c r="H41" s="27" t="n">
        <x:v>13.570796326794897</x:v>
      </x:c>
      <x:c r="I41" s="27" t="n">
        <x:f>IF(OR(E41="",E41&lt;=0),"n.a.",J41/E41)</x:f>
        <x:v>13.560722576131509</x:v>
      </x:c>
      <x:c r="J41" s="27" t="n">
        <x:v>81.36433545678905</x:v>
      </x:c>
      <x:c r="K41" s="27"/>
      <x:c r="L41" s="27"/>
      <x:c r="M41" s="27" t="n">
        <x:v>2110</x:v>
      </x:c>
      <x:c r="N41" s="27" t="n">
        <x:v>2113.5</x:v>
      </x:c>
      <x:c r="O41" s="27" t="n">
        <x:v>0</x:v>
      </x:c>
      <x:c r="P41" s="27"/>
      <x:c r="Q41" s="1" t="str">
        <x:v>EXCAVATION</x:v>
      </x:c>
      <x:c r="R41" s="1" t="str">
        <x:v>SUMP_EXCAVATION</x:v>
      </x:c>
    </x:row>
    <x:row r="42" ht="22" customHeight="1">
      <x:c r="A42" s="1" t="str">
        <x:v>CARG-N06</x:v>
      </x:c>
      <x:c r="B42" s="1" t="str"/>
      <x:c r="C42" s="1" t="str"/>
      <x:c r="D42" s="1" t="str"/>
      <x:c r="E42" s="27" t="n">
        <x:v>18</x:v>
      </x:c>
      <x:c r="F42" s="27" t="n">
        <x:v>6.5</x:v>
      </x:c>
      <x:c r="G42" s="27" t="n">
        <x:v>5</x:v>
      </x:c>
      <x:c r="H42" s="27" t="n">
        <x:v>31.802544031041705</x:v>
      </x:c>
      <x:c r="I42" s="27" t="n">
        <x:f>IF(OR(E42="",E42&lt;=0),"n.a.",J42/E42)</x:f>
        <x:v>31.786174186208953</x:v>
      </x:c>
      <x:c r="J42" s="27" t="n">
        <x:v>572.1511353517611</x:v>
      </x:c>
      <x:c r="K42" s="27"/>
      <x:c r="L42" s="27"/>
      <x:c r="M42" s="27" t="n">
        <x:v>2110</x:v>
      </x:c>
      <x:c r="N42" s="27" t="n">
        <x:v>2115</x:v>
      </x:c>
      <x:c r="O42" s="27" t="n">
        <x:v>0</x:v>
      </x:c>
      <x:c r="P42" s="27"/>
      <x:c r="Q42" s="1" t="str">
        <x:v>EXCAVATION</x:v>
      </x:c>
      <x:c r="R42" s="1" t="str">
        <x:v>LOADING_CHAMBER</x:v>
      </x:c>
    </x:row>
    <x:row r="43" ht="22" customHeight="1">
      <x:c r="A43" s="1" t="str">
        <x:v>TJ-A1</x:v>
      </x:c>
      <x:c r="B43" s="1" t="str">
        <x:v>CYR_OVERHAND</x:v>
      </x:c>
      <x:c r="C43" s="1" t="str">
        <x:v>TJ-A1</x:v>
      </x:c>
      <x:c r="D43" s="1" t="str"/>
      <x:c r="E43" s="27" t="n">
        <x:v>30</x:v>
      </x:c>
      <x:c r="F43" s="27" t="n">
        <x:v>1.3944435610115207</x:v>
      </x:c>
      <x:c r="G43" s="27" t="n">
        <x:v>40</x:v>
      </x:c>
      <x:c r="H43" s="27"/>
      <x:c r="I43" s="27" t="n">
        <x:f>IF(OR(E43="",E43&lt;=0),"n.a.",J43/E43)</x:f>
        <x:v>53.26505897856518</x:v>
      </x:c>
      <x:c r="J43" s="27" t="n">
        <x:v>1597.9517693569553</x:v>
      </x:c>
      <x:c r="K43" s="27"/>
      <x:c r="L43" s="27"/>
      <x:c r="M43" s="27" t="n">
        <x:v>2170</x:v>
      </x:c>
      <x:c r="N43" s="27" t="n">
        <x:v>2210</x:v>
      </x:c>
      <x:c r="O43" s="27"/>
      <x:c r="P43" s="27"/>
      <x:c r="Q43" s="1" t="str">
        <x:v>ORE_STOPE_TOTAL</x:v>
      </x:c>
      <x:c r="R43" s="1" t="str">
        <x:v>ORE_STOPE</x:v>
      </x:c>
    </x:row>
    <x:row r="44" ht="22" customHeight="1">
      <x:c r="A44" s="1" t="str">
        <x:v>TJ-A1-C01</x:v>
      </x:c>
      <x:c r="B44" s="1" t="str">
        <x:v>CYR_OVERHAND</x:v>
      </x:c>
      <x:c r="C44" s="1" t="str">
        <x:v>TJ-A1</x:v>
      </x:c>
      <x:c r="D44" s="1" t="str">
        <x:v>1</x:v>
      </x:c>
      <x:c r="E44" s="27" t="n">
        <x:v>30</x:v>
      </x:c>
      <x:c r="F44" s="27" t="n">
        <x:v>1.3944435610115207</x:v>
      </x:c>
      <x:c r="G44" s="27" t="n">
        <x:v>3.333333333333485</x:v>
      </x:c>
      <x:c r="H44" s="27"/>
      <x:c r="I44" s="27" t="n">
        <x:f>IF(OR(E44="",E44&lt;=0),"n.a.",J44/E44)</x:f>
        <x:v>4.461469013974673</x:v>
      </x:c>
      <x:c r="J44" s="27" t="n">
        <x:v>133.84407041924018</x:v>
      </x:c>
      <x:c r="K44" s="27"/>
      <x:c r="L44" s="27"/>
      <x:c r="M44" s="27" t="n">
        <x:v>2170</x:v>
      </x:c>
      <x:c r="N44" s="27" t="n">
        <x:v>2173.3333333333335</x:v>
      </x:c>
      <x:c r="O44" s="27"/>
      <x:c r="P44" s="27"/>
      <x:c r="Q44" s="1" t="str">
        <x:v>ORE_CUT</x:v>
      </x:c>
      <x:c r="R44" s="1" t="str">
        <x:v>ORE_STOPE</x:v>
      </x:c>
    </x:row>
    <x:row r="45" ht="22" customHeight="1">
      <x:c r="A45" s="1" t="str">
        <x:v>EXC-TJ-A1-C01</x:v>
      </x:c>
      <x:c r="B45" s="1" t="str">
        <x:v>CYR_OVERHAND</x:v>
      </x:c>
      <x:c r="C45" s="1" t="str">
        <x:v>TJ-A1</x:v>
      </x:c>
      <x:c r="D45" s="1" t="str">
        <x:v>1</x:v>
      </x:c>
      <x:c r="E45" s="27" t="n">
        <x:v>30</x:v>
      </x:c>
      <x:c r="F45" s="27" t="n">
        <x:v>3.5</x:v>
      </x:c>
      <x:c r="G45" s="27" t="n">
        <x:v>3.8333333333333335</x:v>
      </x:c>
      <x:c r="H45" s="27" t="n">
        <x:v>13.041113452612203</x:v>
      </x:c>
      <x:c r="I45" s="27" t="n">
        <x:f>IF(OR(E45="",E45&lt;=0),"n.a.",J45/E45)</x:f>
        <x:v>13.032298920778299</x:v>
      </x:c>
      <x:c r="J45" s="27" t="n">
        <x:v>390.968967623349</x:v>
      </x:c>
      <x:c r="K45" s="27" t="n">
        <x:v>133.84407041924018</x:v>
      </x:c>
      <x:c r="L45" s="27"/>
      <x:c r="M45" s="27" t="n">
        <x:v>2170</x:v>
      </x:c>
      <x:c r="N45" s="27" t="n">
        <x:v>2173.8333333333335</x:v>
      </x:c>
      <x:c r="O45" s="27" t="n">
        <x:v>0</x:v>
      </x:c>
      <x:c r="P45" s="27"/>
      <x:c r="Q45" s="1" t="str">
        <x:v>EXCAVATION</x:v>
      </x:c>
      <x:c r="R45" s="1" t="str">
        <x:v>CYR_STAGE_EXCAVATION</x:v>
      </x:c>
    </x:row>
    <x:row r="46" ht="22" customHeight="1">
      <x:c r="A46" s="1" t="str">
        <x:v>RLL-TJ-A1-C01</x:v>
      </x:c>
      <x:c r="B46" s="1" t="str">
        <x:v>CYR_OVERHAND</x:v>
      </x:c>
      <x:c r="C46" s="1" t="str">
        <x:v>TJ-A1</x:v>
      </x:c>
      <x:c r="D46" s="1" t="str">
        <x:v>1</x:v>
      </x:c>
      <x:c r="E46" s="27" t="n">
        <x:v>30</x:v>
      </x:c>
      <x:c r="F46" s="27" t="n">
        <x:v>3.5</x:v>
      </x:c>
      <x:c r="G46" s="27" t="n">
        <x:v>2.8333333333333335</x:v>
      </x:c>
      <x:c r="H46" s="27"/>
      <x:c r="I46" s="27" t="n">
        <x:f>IF(OR(E46="",E46&lt;=0),"n.a.",J46/E46)</x:f>
        <x:v>9.916666666669252</x:v>
      </x:c>
      <x:c r="J46" s="27" t="n">
        <x:v>297.5000000000776</x:v>
      </x:c>
      <x:c r="K46" s="27"/>
      <x:c r="L46" s="27" t="n">
        <x:v>297.5000000000776</x:v>
      </x:c>
      <x:c r="M46" s="27" t="n">
        <x:v>2170</x:v>
      </x:c>
      <x:c r="N46" s="27" t="n">
        <x:v>2172.8333333333335</x:v>
      </x:c>
      <x:c r="O46" s="27"/>
      <x:c r="P46" s="27"/>
      <x:c r="Q46" s="1" t="str">
        <x:v>FILL_CUT</x:v>
      </x:c>
      <x:c r="R46" s="1" t="str">
        <x:v>BACKFILL_STAGE</x:v>
      </x:c>
    </x:row>
    <x:row r="47" ht="22" customHeight="1">
      <x:c r="A47" s="1" t="str">
        <x:v>TJ-A1-C02</x:v>
      </x:c>
      <x:c r="B47" s="1" t="str">
        <x:v>CYR_OVERHAND</x:v>
      </x:c>
      <x:c r="C47" s="1" t="str">
        <x:v>TJ-A1</x:v>
      </x:c>
      <x:c r="D47" s="1" t="str">
        <x:v>2</x:v>
      </x:c>
      <x:c r="E47" s="27" t="n">
        <x:v>30</x:v>
      </x:c>
      <x:c r="F47" s="27" t="n">
        <x:v>1.3933012876875992</x:v>
      </x:c>
      <x:c r="G47" s="27" t="n">
        <x:v>3.333333333333485</x:v>
      </x:c>
      <x:c r="H47" s="27"/>
      <x:c r="I47" s="27" t="n">
        <x:f>IF(OR(E47="",E47&lt;=0),"n.a.",J47/E47)</x:f>
        <x:v>4.45732277468763</x:v>
      </x:c>
      <x:c r="J47" s="27" t="n">
        <x:v>133.7196832406289</x:v>
      </x:c>
      <x:c r="K47" s="27"/>
      <x:c r="L47" s="27"/>
      <x:c r="M47" s="27" t="n">
        <x:v>2173.3333333333335</x:v>
      </x:c>
      <x:c r="N47" s="27" t="n">
        <x:v>2176.666666666667</x:v>
      </x:c>
      <x:c r="O47" s="27"/>
      <x:c r="P47" s="27"/>
      <x:c r="Q47" s="1" t="str">
        <x:v>ORE_CUT</x:v>
      </x:c>
      <x:c r="R47" s="1" t="str">
        <x:v>ORE_STOPE</x:v>
      </x:c>
    </x:row>
    <x:row r="48" ht="22" customHeight="1">
      <x:c r="A48" s="1" t="str">
        <x:v>EXC-TJ-A1-C02</x:v>
      </x:c>
      <x:c r="B48" s="1" t="str">
        <x:v>CYR_OVERHAND</x:v>
      </x:c>
      <x:c r="C48" s="1" t="str">
        <x:v>TJ-A1</x:v>
      </x:c>
      <x:c r="D48" s="1" t="str">
        <x:v>2</x:v>
      </x:c>
      <x:c r="E48" s="27" t="n">
        <x:v>30</x:v>
      </x:c>
      <x:c r="F48" s="27" t="n">
        <x:v>3.5</x:v>
      </x:c>
      <x:c r="G48" s="27" t="n">
        <x:v>3.8333333333333335</x:v>
      </x:c>
      <x:c r="H48" s="27" t="n">
        <x:v>13.041113452612203</x:v>
      </x:c>
      <x:c r="I48" s="27" t="n">
        <x:f>IF(OR(E48="",E48&lt;=0),"n.a.",J48/E48)</x:f>
        <x:v>13.032298920781695</x:v>
      </x:c>
      <x:c r="J48" s="27" t="n">
        <x:v>390.96896762345085</x:v>
      </x:c>
      <x:c r="K48" s="27" t="n">
        <x:v>133.7196832406289</x:v>
      </x:c>
      <x:c r="L48" s="27"/>
      <x:c r="M48" s="27" t="n">
        <x:v>2173.3333333333335</x:v>
      </x:c>
      <x:c r="N48" s="27" t="n">
        <x:v>2177.166666666667</x:v>
      </x:c>
      <x:c r="O48" s="27" t="n">
        <x:v>0</x:v>
      </x:c>
      <x:c r="P48" s="27"/>
      <x:c r="Q48" s="1" t="str">
        <x:v>EXCAVATION</x:v>
      </x:c>
      <x:c r="R48" s="1" t="str">
        <x:v>CYR_STAGE_EXCAVATION</x:v>
      </x:c>
    </x:row>
    <x:row r="49" ht="22" customHeight="1">
      <x:c r="A49" s="1" t="str">
        <x:v>RLL-TJ-A1-C02</x:v>
      </x:c>
      <x:c r="B49" s="1" t="str">
        <x:v>CYR_OVERHAND</x:v>
      </x:c>
      <x:c r="C49" s="1" t="str">
        <x:v>TJ-A1</x:v>
      </x:c>
      <x:c r="D49" s="1" t="str">
        <x:v>2</x:v>
      </x:c>
      <x:c r="E49" s="27" t="n">
        <x:v>30</x:v>
      </x:c>
      <x:c r="F49" s="27" t="n">
        <x:v>3.5</x:v>
      </x:c>
      <x:c r="G49" s="27" t="n">
        <x:v>2.8333333333333335</x:v>
      </x:c>
      <x:c r="H49" s="27"/>
      <x:c r="I49" s="27" t="n">
        <x:f>IF(OR(E49="",E49&lt;=0),"n.a.",J49/E49)</x:f>
        <x:v>9.91666666666408</x:v>
      </x:c>
      <x:c r="J49" s="27" t="n">
        <x:v>297.4999999999224</x:v>
      </x:c>
      <x:c r="K49" s="27"/>
      <x:c r="L49" s="27" t="n">
        <x:v>297.4999999999224</x:v>
      </x:c>
      <x:c r="M49" s="27" t="n">
        <x:v>2173.3333333333335</x:v>
      </x:c>
      <x:c r="N49" s="27" t="n">
        <x:v>2176.166666666667</x:v>
      </x:c>
      <x:c r="O49" s="27"/>
      <x:c r="P49" s="27"/>
      <x:c r="Q49" s="1" t="str">
        <x:v>FILL_CUT</x:v>
      </x:c>
      <x:c r="R49" s="1" t="str">
        <x:v>BACKFILL_STAGE</x:v>
      </x:c>
    </x:row>
    <x:row r="50" ht="22" customHeight="1">
      <x:c r="A50" s="1" t="str">
        <x:v>TJ-A1-C03</x:v>
      </x:c>
      <x:c r="B50" s="1" t="str">
        <x:v>CYR_OVERHAND</x:v>
      </x:c>
      <x:c r="C50" s="1" t="str">
        <x:v>TJ-A1</x:v>
      </x:c>
      <x:c r="D50" s="1" t="str">
        <x:v>3</x:v>
      </x:c>
      <x:c r="E50" s="27" t="n">
        <x:v>30</x:v>
      </x:c>
      <x:c r="F50" s="27" t="n">
        <x:v>1.3921590143636777</x:v>
      </x:c>
      <x:c r="G50" s="27" t="n">
        <x:v>3.333333333333485</x:v>
      </x:c>
      <x:c r="H50" s="27"/>
      <x:c r="I50" s="27" t="n">
        <x:f>IF(OR(E50="",E50&lt;=0),"n.a.",J50/E50)</x:f>
        <x:v>4.453181247717657</x:v>
      </x:c>
      <x:c r="J50" s="27" t="n">
        <x:v>133.59543743152972</x:v>
      </x:c>
      <x:c r="K50" s="27"/>
      <x:c r="L50" s="27"/>
      <x:c r="M50" s="27" t="n">
        <x:v>2176.6666666666665</x:v>
      </x:c>
      <x:c r="N50" s="27" t="n">
        <x:v>2180</x:v>
      </x:c>
      <x:c r="O50" s="27"/>
      <x:c r="P50" s="27"/>
      <x:c r="Q50" s="1" t="str">
        <x:v>ORE_CUT</x:v>
      </x:c>
      <x:c r="R50" s="1" t="str">
        <x:v>ORE_STOPE</x:v>
      </x:c>
    </x:row>
    <x:row r="51" ht="22" customHeight="1">
      <x:c r="A51" s="1" t="str">
        <x:v>EXC-TJ-A1-C03</x:v>
      </x:c>
      <x:c r="B51" s="1" t="str">
        <x:v>CYR_OVERHAND</x:v>
      </x:c>
      <x:c r="C51" s="1" t="str">
        <x:v>TJ-A1</x:v>
      </x:c>
      <x:c r="D51" s="1" t="str">
        <x:v>3</x:v>
      </x:c>
      <x:c r="E51" s="27" t="n">
        <x:v>30</x:v>
      </x:c>
      <x:c r="F51" s="27" t="n">
        <x:v>3.5</x:v>
      </x:c>
      <x:c r="G51" s="27" t="n">
        <x:v>3.8333333333333335</x:v>
      </x:c>
      <x:c r="H51" s="27" t="n">
        <x:v>13.041113452612203</x:v>
      </x:c>
      <x:c r="I51" s="27" t="n">
        <x:f>IF(OR(E51="",E51&lt;=0),"n.a.",J51/E51)</x:f>
        <x:v>13.032298920783797</x:v>
      </x:c>
      <x:c r="J51" s="27" t="n">
        <x:v>390.9689676235139</x:v>
      </x:c>
      <x:c r="K51" s="27" t="n">
        <x:v>133.59543743152972</x:v>
      </x:c>
      <x:c r="L51" s="27"/>
      <x:c r="M51" s="27" t="n">
        <x:v>2176.6666666666665</x:v>
      </x:c>
      <x:c r="N51" s="27" t="n">
        <x:v>2180.5</x:v>
      </x:c>
      <x:c r="O51" s="27" t="n">
        <x:v>0</x:v>
      </x:c>
      <x:c r="P51" s="27"/>
      <x:c r="Q51" s="1" t="str">
        <x:v>EXCAVATION</x:v>
      </x:c>
      <x:c r="R51" s="1" t="str">
        <x:v>CYR_STAGE_EXCAVATION</x:v>
      </x:c>
    </x:row>
    <x:row r="52" ht="22" customHeight="1">
      <x:c r="A52" s="1" t="str">
        <x:v>RLL-TJ-A1-C03</x:v>
      </x:c>
      <x:c r="B52" s="1" t="str">
        <x:v>CYR_OVERHAND</x:v>
      </x:c>
      <x:c r="C52" s="1" t="str">
        <x:v>TJ-A1</x:v>
      </x:c>
      <x:c r="D52" s="1" t="str">
        <x:v>3</x:v>
      </x:c>
      <x:c r="E52" s="27" t="n">
        <x:v>30</x:v>
      </x:c>
      <x:c r="F52" s="27" t="n">
        <x:v>3.5</x:v>
      </x:c>
      <x:c r="G52" s="27" t="n">
        <x:v>2.8333333333333335</x:v>
      </x:c>
      <x:c r="H52" s="27"/>
      <x:c r="I52" s="27" t="n">
        <x:f>IF(OR(E52="",E52&lt;=0),"n.a.",J52/E52)</x:f>
        <x:v>9.916666666670547</x:v>
      </x:c>
      <x:c r="J52" s="27" t="n">
        <x:v>297.5000000001164</x:v>
      </x:c>
      <x:c r="K52" s="27"/>
      <x:c r="L52" s="27" t="n">
        <x:v>297.5000000001164</x:v>
      </x:c>
      <x:c r="M52" s="27" t="n">
        <x:v>2176.6666666666665</x:v>
      </x:c>
      <x:c r="N52" s="27" t="n">
        <x:v>2179.5</x:v>
      </x:c>
      <x:c r="O52" s="27"/>
      <x:c r="P52" s="27"/>
      <x:c r="Q52" s="1" t="str">
        <x:v>FILL_CUT</x:v>
      </x:c>
      <x:c r="R52" s="1" t="str">
        <x:v>BACKFILL_STAGE</x:v>
      </x:c>
    </x:row>
    <x:row r="53" ht="22" customHeight="1">
      <x:c r="A53" s="1" t="str">
        <x:v>TJ-A1-C04</x:v>
      </x:c>
      <x:c r="B53" s="1" t="str">
        <x:v>CYR_OVERHAND</x:v>
      </x:c>
      <x:c r="C53" s="1" t="str">
        <x:v>TJ-A1</x:v>
      </x:c>
      <x:c r="D53" s="1" t="str">
        <x:v>4</x:v>
      </x:c>
      <x:c r="E53" s="27" t="n">
        <x:v>30</x:v>
      </x:c>
      <x:c r="F53" s="27" t="n">
        <x:v>1.3910167410397598</x:v>
      </x:c>
      <x:c r="G53" s="27" t="n">
        <x:v>3.333333333333485</x:v>
      </x:c>
      <x:c r="H53" s="27"/>
      <x:c r="I53" s="27" t="n">
        <x:f>IF(OR(E53="",E53&lt;=0),"n.a.",J53/E53)</x:f>
        <x:v>4.449044844371231</x:v>
      </x:c>
      <x:c r="J53" s="27" t="n">
        <x:v>133.47134533113694</x:v>
      </x:c>
      <x:c r="K53" s="27"/>
      <x:c r="L53" s="27"/>
      <x:c r="M53" s="27" t="n">
        <x:v>2180</x:v>
      </x:c>
      <x:c r="N53" s="27" t="n">
        <x:v>2183.3333333333335</x:v>
      </x:c>
      <x:c r="O53" s="27"/>
      <x:c r="P53" s="27"/>
      <x:c r="Q53" s="1" t="str">
        <x:v>ORE_CUT</x:v>
      </x:c>
      <x:c r="R53" s="1" t="str">
        <x:v>ORE_STOPE</x:v>
      </x:c>
    </x:row>
    <x:row r="54" ht="22" customHeight="1">
      <x:c r="A54" s="1" t="str">
        <x:v>EXC-TJ-A1-C04</x:v>
      </x:c>
      <x:c r="B54" s="1" t="str">
        <x:v>CYR_OVERHAND</x:v>
      </x:c>
      <x:c r="C54" s="1" t="str">
        <x:v>TJ-A1</x:v>
      </x:c>
      <x:c r="D54" s="1" t="str">
        <x:v>4</x:v>
      </x:c>
      <x:c r="E54" s="27" t="n">
        <x:v>30</x:v>
      </x:c>
      <x:c r="F54" s="27" t="n">
        <x:v>3.5</x:v>
      </x:c>
      <x:c r="G54" s="27" t="n">
        <x:v>3.8333333333333335</x:v>
      </x:c>
      <x:c r="H54" s="27" t="n">
        <x:v>13.041113452612203</x:v>
      </x:c>
      <x:c r="I54" s="27" t="n">
        <x:f>IF(OR(E54="",E54&lt;=0),"n.a.",J54/E54)</x:f>
        <x:v>13.032298920777652</x:v>
      </x:c>
      <x:c r="J54" s="27" t="n">
        <x:v>390.96896762332955</x:v>
      </x:c>
      <x:c r="K54" s="27" t="n">
        <x:v>133.47134533113694</x:v>
      </x:c>
      <x:c r="L54" s="27"/>
      <x:c r="M54" s="27" t="n">
        <x:v>2180</x:v>
      </x:c>
      <x:c r="N54" s="27" t="n">
        <x:v>2183.8333333333335</x:v>
      </x:c>
      <x:c r="O54" s="27" t="n">
        <x:v>0</x:v>
      </x:c>
      <x:c r="P54" s="27"/>
      <x:c r="Q54" s="1" t="str">
        <x:v>EXCAVATION</x:v>
      </x:c>
      <x:c r="R54" s="1" t="str">
        <x:v>CYR_STAGE_EXCAVATION</x:v>
      </x:c>
    </x:row>
    <x:row r="55" ht="22" customHeight="1">
      <x:c r="A55" s="1" t="str">
        <x:v>RLL-TJ-A1-C04</x:v>
      </x:c>
      <x:c r="B55" s="1" t="str">
        <x:v>CYR_OVERHAND</x:v>
      </x:c>
      <x:c r="C55" s="1" t="str">
        <x:v>TJ-A1</x:v>
      </x:c>
      <x:c r="D55" s="1" t="str">
        <x:v>4</x:v>
      </x:c>
      <x:c r="E55" s="27" t="n">
        <x:v>30</x:v>
      </x:c>
      <x:c r="F55" s="27" t="n">
        <x:v>3.5</x:v>
      </x:c>
      <x:c r="G55" s="27" t="n">
        <x:v>2.8333333333333335</x:v>
      </x:c>
      <x:c r="H55" s="27"/>
      <x:c r="I55" s="27" t="n">
        <x:f>IF(OR(E55="",E55&lt;=0),"n.a.",J55/E55)</x:f>
        <x:v>9.916666666669252</x:v>
      </x:c>
      <x:c r="J55" s="27" t="n">
        <x:v>297.5000000000776</x:v>
      </x:c>
      <x:c r="K55" s="27"/>
      <x:c r="L55" s="27" t="n">
        <x:v>297.5000000000776</x:v>
      </x:c>
      <x:c r="M55" s="27" t="n">
        <x:v>2180</x:v>
      </x:c>
      <x:c r="N55" s="27" t="n">
        <x:v>2182.8333333333335</x:v>
      </x:c>
      <x:c r="O55" s="27"/>
      <x:c r="P55" s="27"/>
      <x:c r="Q55" s="1" t="str">
        <x:v>FILL_CUT</x:v>
      </x:c>
      <x:c r="R55" s="1" t="str">
        <x:v>BACKFILL_STAGE</x:v>
      </x:c>
    </x:row>
    <x:row r="56" ht="22" customHeight="1">
      <x:c r="A56" s="1" t="str">
        <x:v>TJ-A1-C05</x:v>
      </x:c>
      <x:c r="B56" s="1" t="str">
        <x:v>CYR_OVERHAND</x:v>
      </x:c>
      <x:c r="C56" s="1" t="str">
        <x:v>TJ-A1</x:v>
      </x:c>
      <x:c r="D56" s="1" t="str">
        <x:v>5</x:v>
      </x:c>
      <x:c r="E56" s="27" t="n">
        <x:v>30</x:v>
      </x:c>
      <x:c r="F56" s="27" t="n">
        <x:v>1.3898744677158383</x:v>
      </x:c>
      <x:c r="G56" s="27" t="n">
        <x:v>3.333333333333485</x:v>
      </x:c>
      <x:c r="H56" s="27"/>
      <x:c r="I56" s="27" t="n">
        <x:f>IF(OR(E56="",E56&lt;=0),"n.a.",J56/E56)</x:f>
        <x:v>4.444913249369832</x:v>
      </x:c>
      <x:c r="J56" s="27" t="n">
        <x:v>133.34739748109496</x:v>
      </x:c>
      <x:c r="K56" s="27"/>
      <x:c r="L56" s="27"/>
      <x:c r="M56" s="27" t="n">
        <x:v>2183.3333333333335</x:v>
      </x:c>
      <x:c r="N56" s="27" t="n">
        <x:v>2186.666666666667</x:v>
      </x:c>
      <x:c r="O56" s="27"/>
      <x:c r="P56" s="27"/>
      <x:c r="Q56" s="1" t="str">
        <x:v>ORE_CUT</x:v>
      </x:c>
      <x:c r="R56" s="1" t="str">
        <x:v>ORE_STOPE</x:v>
      </x:c>
    </x:row>
    <x:row r="57" ht="22" customHeight="1">
      <x:c r="A57" s="1" t="str">
        <x:v>EXC-TJ-A1-C05</x:v>
      </x:c>
      <x:c r="B57" s="1" t="str">
        <x:v>CYR_OVERHAND</x:v>
      </x:c>
      <x:c r="C57" s="1" t="str">
        <x:v>TJ-A1</x:v>
      </x:c>
      <x:c r="D57" s="1" t="str">
        <x:v>5</x:v>
      </x:c>
      <x:c r="E57" s="27" t="n">
        <x:v>30</x:v>
      </x:c>
      <x:c r="F57" s="27" t="n">
        <x:v>3.5</x:v>
      </x:c>
      <x:c r="G57" s="27" t="n">
        <x:v>3.8333333333333335</x:v>
      </x:c>
      <x:c r="H57" s="27" t="n">
        <x:v>13.041113452612203</x:v>
      </x:c>
      <x:c r="I57" s="27" t="n">
        <x:f>IF(OR(E57="",E57&lt;=0),"n.a.",J57/E57)</x:f>
        <x:v>13.032298920779107</x:v>
      </x:c>
      <x:c r="J57" s="27" t="n">
        <x:v>390.9689676233732</x:v>
      </x:c>
      <x:c r="K57" s="27" t="n">
        <x:v>133.34739748109496</x:v>
      </x:c>
      <x:c r="L57" s="27"/>
      <x:c r="M57" s="27" t="n">
        <x:v>2183.3333333333335</x:v>
      </x:c>
      <x:c r="N57" s="27" t="n">
        <x:v>2187.166666666667</x:v>
      </x:c>
      <x:c r="O57" s="27" t="n">
        <x:v>0</x:v>
      </x:c>
      <x:c r="P57" s="27"/>
      <x:c r="Q57" s="1" t="str">
        <x:v>EXCAVATION</x:v>
      </x:c>
      <x:c r="R57" s="1" t="str">
        <x:v>CYR_STAGE_EXCAVATION</x:v>
      </x:c>
    </x:row>
    <x:row r="58" ht="22" customHeight="1">
      <x:c r="A58" s="1" t="str">
        <x:v>RLL-TJ-A1-C05</x:v>
      </x:c>
      <x:c r="B58" s="1" t="str">
        <x:v>CYR_OVERHAND</x:v>
      </x:c>
      <x:c r="C58" s="1" t="str">
        <x:v>TJ-A1</x:v>
      </x:c>
      <x:c r="D58" s="1" t="str">
        <x:v>5</x:v>
      </x:c>
      <x:c r="E58" s="27" t="n">
        <x:v>30</x:v>
      </x:c>
      <x:c r="F58" s="27" t="n">
        <x:v>3.5</x:v>
      </x:c>
      <x:c r="G58" s="27" t="n">
        <x:v>2.8333333333333335</x:v>
      </x:c>
      <x:c r="H58" s="27"/>
      <x:c r="I58" s="27" t="n">
        <x:f>IF(OR(E58="",E58&lt;=0),"n.a.",J58/E58)</x:f>
        <x:v>9.916666666665373</x:v>
      </x:c>
      <x:c r="J58" s="27" t="n">
        <x:v>297.4999999999612</x:v>
      </x:c>
      <x:c r="K58" s="27"/>
      <x:c r="L58" s="27" t="n">
        <x:v>297.4999999999612</x:v>
      </x:c>
      <x:c r="M58" s="27" t="n">
        <x:v>2183.3333333333335</x:v>
      </x:c>
      <x:c r="N58" s="27" t="n">
        <x:v>2186.166666666667</x:v>
      </x:c>
      <x:c r="O58" s="27"/>
      <x:c r="P58" s="27"/>
      <x:c r="Q58" s="1" t="str">
        <x:v>FILL_CUT</x:v>
      </x:c>
      <x:c r="R58" s="1" t="str">
        <x:v>BACKFILL_STAGE</x:v>
      </x:c>
    </x:row>
    <x:row r="59" ht="22" customHeight="1">
      <x:c r="A59" s="1" t="str">
        <x:v>TJ-A1-C06</x:v>
      </x:c>
      <x:c r="B59" s="1" t="str">
        <x:v>CYR_OVERHAND</x:v>
      </x:c>
      <x:c r="C59" s="1" t="str">
        <x:v>TJ-A1</x:v>
      </x:c>
      <x:c r="D59" s="1" t="str">
        <x:v>6</x:v>
      </x:c>
      <x:c r="E59" s="27" t="n">
        <x:v>30</x:v>
      </x:c>
      <x:c r="F59" s="27" t="n">
        <x:v>1.3887321943919169</x:v>
      </x:c>
      <x:c r="G59" s="27" t="n">
        <x:v>3.333333333333485</x:v>
      </x:c>
      <x:c r="H59" s="27"/>
      <x:c r="I59" s="27" t="n">
        <x:f>IF(OR(E59="",E59&lt;=0),"n.a.",J59/E59)</x:f>
        <x:v>4.440787027225391</x:v>
      </x:c>
      <x:c r="J59" s="27" t="n">
        <x:v>133.22361081676172</x:v>
      </x:c>
      <x:c r="K59" s="27"/>
      <x:c r="L59" s="27"/>
      <x:c r="M59" s="27" t="n">
        <x:v>2186.6666666666665</x:v>
      </x:c>
      <x:c r="N59" s="27" t="n">
        <x:v>2190</x:v>
      </x:c>
      <x:c r="O59" s="27"/>
      <x:c r="P59" s="27"/>
      <x:c r="Q59" s="1" t="str">
        <x:v>ORE_CUT</x:v>
      </x:c>
      <x:c r="R59" s="1" t="str">
        <x:v>ORE_STOPE</x:v>
      </x:c>
    </x:row>
    <x:row r="60" ht="22" customHeight="1">
      <x:c r="A60" s="1" t="str">
        <x:v>EXC-TJ-A1-C06</x:v>
      </x:c>
      <x:c r="B60" s="1" t="str">
        <x:v>CYR_OVERHAND</x:v>
      </x:c>
      <x:c r="C60" s="1" t="str">
        <x:v>TJ-A1</x:v>
      </x:c>
      <x:c r="D60" s="1" t="str">
        <x:v>6</x:v>
      </x:c>
      <x:c r="E60" s="27" t="n">
        <x:v>30</x:v>
      </x:c>
      <x:c r="F60" s="27" t="n">
        <x:v>3.5</x:v>
      </x:c>
      <x:c r="G60" s="27" t="n">
        <x:v>3.8333333333333335</x:v>
      </x:c>
      <x:c r="H60" s="27" t="n">
        <x:v>13.041113452612203</x:v>
      </x:c>
      <x:c r="I60" s="27" t="n">
        <x:f>IF(OR(E60="",E60&lt;=0),"n.a.",J60/E60)</x:f>
        <x:v>13.03229892078024</x:v>
      </x:c>
      <x:c r="J60" s="27" t="n">
        <x:v>390.9689676234072</x:v>
      </x:c>
      <x:c r="K60" s="27" t="n">
        <x:v>133.22361081676172</x:v>
      </x:c>
      <x:c r="L60" s="27"/>
      <x:c r="M60" s="27" t="n">
        <x:v>2186.6666666666665</x:v>
      </x:c>
      <x:c r="N60" s="27" t="n">
        <x:v>2190.5</x:v>
      </x:c>
      <x:c r="O60" s="27" t="n">
        <x:v>0</x:v>
      </x:c>
      <x:c r="P60" s="27"/>
      <x:c r="Q60" s="1" t="str">
        <x:v>EXCAVATION</x:v>
      </x:c>
      <x:c r="R60" s="1" t="str">
        <x:v>CYR_STAGE_EXCAVATION</x:v>
      </x:c>
    </x:row>
    <x:row r="61" ht="22" customHeight="1">
      <x:c r="A61" s="1" t="str">
        <x:v>RLL-TJ-A1-C06</x:v>
      </x:c>
      <x:c r="B61" s="1" t="str">
        <x:v>CYR_OVERHAND</x:v>
      </x:c>
      <x:c r="C61" s="1" t="str">
        <x:v>TJ-A1</x:v>
      </x:c>
      <x:c r="D61" s="1" t="str">
        <x:v>6</x:v>
      </x:c>
      <x:c r="E61" s="27" t="n">
        <x:v>30</x:v>
      </x:c>
      <x:c r="F61" s="27" t="n">
        <x:v>3.5</x:v>
      </x:c>
      <x:c r="G61" s="27" t="n">
        <x:v>2.8333333333333335</x:v>
      </x:c>
      <x:c r="H61" s="27"/>
      <x:c r="I61" s="27" t="n">
        <x:f>IF(OR(E61="",E61&lt;=0),"n.a.",J61/E61)</x:f>
        <x:v>9.916666666666666</x:v>
      </x:c>
      <x:c r="J61" s="27" t="n">
        <x:v>297.5</x:v>
      </x:c>
      <x:c r="K61" s="27"/>
      <x:c r="L61" s="27" t="n">
        <x:v>297.5</x:v>
      </x:c>
      <x:c r="M61" s="27" t="n">
        <x:v>2186.6666666666665</x:v>
      </x:c>
      <x:c r="N61" s="27" t="n">
        <x:v>2189.5</x:v>
      </x:c>
      <x:c r="O61" s="27"/>
      <x:c r="P61" s="27"/>
      <x:c r="Q61" s="1" t="str">
        <x:v>FILL_CUT</x:v>
      </x:c>
      <x:c r="R61" s="1" t="str">
        <x:v>BACKFILL_STAGE</x:v>
      </x:c>
    </x:row>
    <x:row r="62" ht="22" customHeight="1">
      <x:c r="A62" s="1" t="str">
        <x:v>TJ-A1-C07</x:v>
      </x:c>
      <x:c r="B62" s="1" t="str">
        <x:v>CYR_OVERHAND</x:v>
      </x:c>
      <x:c r="C62" s="1" t="str">
        <x:v>TJ-A1</x:v>
      </x:c>
      <x:c r="D62" s="1" t="str">
        <x:v>7</x:v>
      </x:c>
      <x:c r="E62" s="27" t="n">
        <x:v>30</x:v>
      </x:c>
      <x:c r="F62" s="27" t="n">
        <x:v>1.3875899210679954</x:v>
      </x:c>
      <x:c r="G62" s="27" t="n">
        <x:v>3.333333333333485</x:v>
      </x:c>
      <x:c r="H62" s="27"/>
      <x:c r="I62" s="27" t="n">
        <x:f>IF(OR(E62="",E62&lt;=0),"n.a.",J62/E62)</x:f>
        <x:v>4.436664783568408</x:v>
      </x:c>
      <x:c r="J62" s="27" t="n">
        <x:v>133.09994350705225</x:v>
      </x:c>
      <x:c r="K62" s="27"/>
      <x:c r="L62" s="27"/>
      <x:c r="M62" s="27" t="n">
        <x:v>2190</x:v>
      </x:c>
      <x:c r="N62" s="27" t="n">
        <x:v>2193.3333333333335</x:v>
      </x:c>
      <x:c r="O62" s="27"/>
      <x:c r="P62" s="27"/>
      <x:c r="Q62" s="1" t="str">
        <x:v>ORE_CUT</x:v>
      </x:c>
      <x:c r="R62" s="1" t="str">
        <x:v>ORE_STOPE</x:v>
      </x:c>
    </x:row>
    <x:row r="63" ht="22" customHeight="1">
      <x:c r="A63" s="1" t="str">
        <x:v>EXC-TJ-A1-C07</x:v>
      </x:c>
      <x:c r="B63" s="1" t="str">
        <x:v>CYR_OVERHAND</x:v>
      </x:c>
      <x:c r="C63" s="1" t="str">
        <x:v>TJ-A1</x:v>
      </x:c>
      <x:c r="D63" s="1" t="str">
        <x:v>7</x:v>
      </x:c>
      <x:c r="E63" s="27" t="n">
        <x:v>30</x:v>
      </x:c>
      <x:c r="F63" s="27" t="n">
        <x:v>3.5</x:v>
      </x:c>
      <x:c r="G63" s="27" t="n">
        <x:v>3.8333333333333335</x:v>
      </x:c>
      <x:c r="H63" s="27" t="n">
        <x:v>13.041113452612203</x:v>
      </x:c>
      <x:c r="I63" s="27" t="n">
        <x:f>IF(OR(E63="",E63&lt;=0),"n.a.",J63/E63)</x:f>
        <x:v>13.03229892078024</x:v>
      </x:c>
      <x:c r="J63" s="27" t="n">
        <x:v>390.9689676234072</x:v>
      </x:c>
      <x:c r="K63" s="27" t="n">
        <x:v>133.09994350705225</x:v>
      </x:c>
      <x:c r="L63" s="27"/>
      <x:c r="M63" s="27" t="n">
        <x:v>2190</x:v>
      </x:c>
      <x:c r="N63" s="27" t="n">
        <x:v>2193.8333333333335</x:v>
      </x:c>
      <x:c r="O63" s="27" t="n">
        <x:v>0</x:v>
      </x:c>
      <x:c r="P63" s="27"/>
      <x:c r="Q63" s="1" t="str">
        <x:v>EXCAVATION</x:v>
      </x:c>
      <x:c r="R63" s="1" t="str">
        <x:v>CYR_STAGE_EXCAVATION</x:v>
      </x:c>
    </x:row>
    <x:row r="64" ht="22" customHeight="1">
      <x:c r="A64" s="1" t="str">
        <x:v>RLL-TJ-A1-C07</x:v>
      </x:c>
      <x:c r="B64" s="1" t="str">
        <x:v>CYR_OVERHAND</x:v>
      </x:c>
      <x:c r="C64" s="1" t="str">
        <x:v>TJ-A1</x:v>
      </x:c>
      <x:c r="D64" s="1" t="str">
        <x:v>7</x:v>
      </x:c>
      <x:c r="E64" s="27" t="n">
        <x:v>30</x:v>
      </x:c>
      <x:c r="F64" s="27" t="n">
        <x:v>3.5</x:v>
      </x:c>
      <x:c r="G64" s="27" t="n">
        <x:v>2.8333333333333335</x:v>
      </x:c>
      <x:c r="H64" s="27"/>
      <x:c r="I64" s="27" t="n">
        <x:f>IF(OR(E64="",E64&lt;=0),"n.a.",J64/E64)</x:f>
        <x:v>9.916666666662787</x:v>
      </x:c>
      <x:c r="J64" s="27" t="n">
        <x:v>297.4999999998836</x:v>
      </x:c>
      <x:c r="K64" s="27"/>
      <x:c r="L64" s="27" t="n">
        <x:v>297.4999999998836</x:v>
      </x:c>
      <x:c r="M64" s="27" t="n">
        <x:v>2190</x:v>
      </x:c>
      <x:c r="N64" s="27" t="n">
        <x:v>2192.8333333333335</x:v>
      </x:c>
      <x:c r="O64" s="27"/>
      <x:c r="P64" s="27"/>
      <x:c r="Q64" s="1" t="str">
        <x:v>FILL_CUT</x:v>
      </x:c>
      <x:c r="R64" s="1" t="str">
        <x:v>BACKFILL_STAGE</x:v>
      </x:c>
    </x:row>
    <x:row r="65" ht="22" customHeight="1">
      <x:c r="A65" s="1" t="str">
        <x:v>TJ-A1-C08</x:v>
      </x:c>
      <x:c r="B65" s="1" t="str">
        <x:v>CYR_OVERHAND</x:v>
      </x:c>
      <x:c r="C65" s="1" t="str">
        <x:v>TJ-A1</x:v>
      </x:c>
      <x:c r="D65" s="1" t="str">
        <x:v>8</x:v>
      </x:c>
      <x:c r="E65" s="27" t="n">
        <x:v>30</x:v>
      </x:c>
      <x:c r="F65" s="27" t="n">
        <x:v>1.386447647744074</x:v>
      </x:c>
      <x:c r="G65" s="27" t="n">
        <x:v>3.333333333333485</x:v>
      </x:c>
      <x:c r="H65" s="27"/>
      <x:c r="I65" s="27" t="n">
        <x:f>IF(OR(E65="",E65&lt;=0),"n.a.",J65/E65)</x:f>
        <x:v>4.432549313718401</x:v>
      </x:c>
      <x:c r="J65" s="27" t="n">
        <x:v>132.97647941155205</x:v>
      </x:c>
      <x:c r="K65" s="27"/>
      <x:c r="L65" s="27"/>
      <x:c r="M65" s="27" t="n">
        <x:v>2193.3333333333335</x:v>
      </x:c>
      <x:c r="N65" s="27" t="n">
        <x:v>2196.666666666667</x:v>
      </x:c>
      <x:c r="O65" s="27"/>
      <x:c r="P65" s="27"/>
      <x:c r="Q65" s="1" t="str">
        <x:v>ORE_CUT</x:v>
      </x:c>
      <x:c r="R65" s="1" t="str">
        <x:v>ORE_STOPE</x:v>
      </x:c>
    </x:row>
    <x:row r="66" ht="22" customHeight="1">
      <x:c r="A66" s="1" t="str">
        <x:v>EXC-TJ-A1-C08</x:v>
      </x:c>
      <x:c r="B66" s="1" t="str">
        <x:v>CYR_OVERHAND</x:v>
      </x:c>
      <x:c r="C66" s="1" t="str">
        <x:v>TJ-A1</x:v>
      </x:c>
      <x:c r="D66" s="1" t="str">
        <x:v>8</x:v>
      </x:c>
      <x:c r="E66" s="27" t="n">
        <x:v>30</x:v>
      </x:c>
      <x:c r="F66" s="27" t="n">
        <x:v>3.5</x:v>
      </x:c>
      <x:c r="G66" s="27" t="n">
        <x:v>3.8333333333333335</x:v>
      </x:c>
      <x:c r="H66" s="27" t="n">
        <x:v>13.041113452612203</x:v>
      </x:c>
      <x:c r="I66" s="27" t="n">
        <x:f>IF(OR(E66="",E66&lt;=0),"n.a.",J66/E66)</x:f>
        <x:v>13.032298920782017</x:v>
      </x:c>
      <x:c r="J66" s="27" t="n">
        <x:v>390.9689676234605</x:v>
      </x:c>
      <x:c r="K66" s="27" t="n">
        <x:v>132.97647941155205</x:v>
      </x:c>
      <x:c r="L66" s="27"/>
      <x:c r="M66" s="27" t="n">
        <x:v>2193.3333333333335</x:v>
      </x:c>
      <x:c r="N66" s="27" t="n">
        <x:v>2197.166666666667</x:v>
      </x:c>
      <x:c r="O66" s="27" t="n">
        <x:v>0</x:v>
      </x:c>
      <x:c r="P66" s="27"/>
      <x:c r="Q66" s="1" t="str">
        <x:v>EXCAVATION</x:v>
      </x:c>
      <x:c r="R66" s="1" t="str">
        <x:v>CYR_STAGE_EXCAVATION</x:v>
      </x:c>
    </x:row>
    <x:row r="67" ht="22" customHeight="1">
      <x:c r="A67" s="1" t="str">
        <x:v>RLL-TJ-A1-C08</x:v>
      </x:c>
      <x:c r="B67" s="1" t="str">
        <x:v>CYR_OVERHAND</x:v>
      </x:c>
      <x:c r="C67" s="1" t="str">
        <x:v>TJ-A1</x:v>
      </x:c>
      <x:c r="D67" s="1" t="str">
        <x:v>8</x:v>
      </x:c>
      <x:c r="E67" s="27" t="n">
        <x:v>30</x:v>
      </x:c>
      <x:c r="F67" s="27" t="n">
        <x:v>3.5</x:v>
      </x:c>
      <x:c r="G67" s="27" t="n">
        <x:v>2.8333333333333335</x:v>
      </x:c>
      <x:c r="H67" s="27"/>
      <x:c r="I67" s="27" t="n">
        <x:f>IF(OR(E67="",E67&lt;=0),"n.a.",J67/E67)</x:f>
        <x:v>9.916666666670547</x:v>
      </x:c>
      <x:c r="J67" s="27" t="n">
        <x:v>297.5000000001164</x:v>
      </x:c>
      <x:c r="K67" s="27"/>
      <x:c r="L67" s="27" t="n">
        <x:v>297.5000000001164</x:v>
      </x:c>
      <x:c r="M67" s="27" t="n">
        <x:v>2193.3333333333335</x:v>
      </x:c>
      <x:c r="N67" s="27" t="n">
        <x:v>2196.166666666667</x:v>
      </x:c>
      <x:c r="O67" s="27"/>
      <x:c r="P67" s="27"/>
      <x:c r="Q67" s="1" t="str">
        <x:v>FILL_CUT</x:v>
      </x:c>
      <x:c r="R67" s="1" t="str">
        <x:v>BACKFILL_STAGE</x:v>
      </x:c>
    </x:row>
    <x:row r="68" ht="22" customHeight="1">
      <x:c r="A68" s="1" t="str">
        <x:v>TJ-A1-C09</x:v>
      </x:c>
      <x:c r="B68" s="1" t="str">
        <x:v>CYR_OVERHAND</x:v>
      </x:c>
      <x:c r="C68" s="1" t="str">
        <x:v>TJ-A1</x:v>
      </x:c>
      <x:c r="D68" s="1" t="str">
        <x:v>9</x:v>
      </x:c>
      <x:c r="E68" s="27" t="n">
        <x:v>30</x:v>
      </x:c>
      <x:c r="F68" s="27" t="n">
        <x:v>1.3853053744201524</x:v>
      </x:c>
      <x:c r="G68" s="27" t="n">
        <x:v>3.333333333333485</x:v>
      </x:c>
      <x:c r="H68" s="27"/>
      <x:c r="I68" s="27" t="n">
        <x:f>IF(OR(E68="",E68&lt;=0),"n.a.",J68/E68)</x:f>
        <x:v>4.428438246335312</x:v>
      </x:c>
      <x:c r="J68" s="27" t="n">
        <x:v>132.85314739005935</x:v>
      </x:c>
      <x:c r="K68" s="27"/>
      <x:c r="L68" s="27"/>
      <x:c r="M68" s="27" t="n">
        <x:v>2196.6666666666665</x:v>
      </x:c>
      <x:c r="N68" s="27" t="n">
        <x:v>2200</x:v>
      </x:c>
      <x:c r="O68" s="27"/>
      <x:c r="P68" s="27"/>
      <x:c r="Q68" s="1" t="str">
        <x:v>ORE_CUT</x:v>
      </x:c>
      <x:c r="R68" s="1" t="str">
        <x:v>ORE_STOPE</x:v>
      </x:c>
    </x:row>
    <x:row r="69" ht="22" customHeight="1">
      <x:c r="A69" s="1" t="str">
        <x:v>EXC-TJ-A1-C09</x:v>
      </x:c>
      <x:c r="B69" s="1" t="str">
        <x:v>CYR_OVERHAND</x:v>
      </x:c>
      <x:c r="C69" s="1" t="str">
        <x:v>TJ-A1</x:v>
      </x:c>
      <x:c r="D69" s="1" t="str">
        <x:v>9</x:v>
      </x:c>
      <x:c r="E69" s="27" t="n">
        <x:v>30</x:v>
      </x:c>
      <x:c r="F69" s="27" t="n">
        <x:v>3.5</x:v>
      </x:c>
      <x:c r="G69" s="27" t="n">
        <x:v>3.8333333333333335</x:v>
      </x:c>
      <x:c r="H69" s="27" t="n">
        <x:v>13.041113452612203</x:v>
      </x:c>
      <x:c r="I69" s="27" t="n">
        <x:f>IF(OR(E69="",E69&lt;=0),"n.a.",J69/E69)</x:f>
        <x:v>13.032298920780885</x:v>
      </x:c>
      <x:c r="J69" s="27" t="n">
        <x:v>390.9689676234266</x:v>
      </x:c>
      <x:c r="K69" s="27" t="n">
        <x:v>132.85314739005935</x:v>
      </x:c>
      <x:c r="L69" s="27"/>
      <x:c r="M69" s="27" t="n">
        <x:v>2196.6666666666665</x:v>
      </x:c>
      <x:c r="N69" s="27" t="n">
        <x:v>2200.5</x:v>
      </x:c>
      <x:c r="O69" s="27" t="n">
        <x:v>0</x:v>
      </x:c>
      <x:c r="P69" s="27"/>
      <x:c r="Q69" s="1" t="str">
        <x:v>EXCAVATION</x:v>
      </x:c>
      <x:c r="R69" s="1" t="str">
        <x:v>CYR_STAGE_EXCAVATION</x:v>
      </x:c>
    </x:row>
    <x:row r="70" ht="22" customHeight="1">
      <x:c r="A70" s="1" t="str">
        <x:v>RLL-TJ-A1-C09</x:v>
      </x:c>
      <x:c r="B70" s="1" t="str">
        <x:v>CYR_OVERHAND</x:v>
      </x:c>
      <x:c r="C70" s="1" t="str">
        <x:v>TJ-A1</x:v>
      </x:c>
      <x:c r="D70" s="1" t="str">
        <x:v>9</x:v>
      </x:c>
      <x:c r="E70" s="27" t="n">
        <x:v>30</x:v>
      </x:c>
      <x:c r="F70" s="27" t="n">
        <x:v>3.5</x:v>
      </x:c>
      <x:c r="G70" s="27" t="n">
        <x:v>2.8333333333333335</x:v>
      </x:c>
      <x:c r="H70" s="27"/>
      <x:c r="I70" s="27" t="n">
        <x:f>IF(OR(E70="",E70&lt;=0),"n.a.",J70/E70)</x:f>
        <x:v>9.916666666667961</x:v>
      </x:c>
      <x:c r="J70" s="27" t="n">
        <x:v>297.5000000000388</x:v>
      </x:c>
      <x:c r="K70" s="27"/>
      <x:c r="L70" s="27" t="n">
        <x:v>297.5000000000388</x:v>
      </x:c>
      <x:c r="M70" s="27" t="n">
        <x:v>2196.6666666666665</x:v>
      </x:c>
      <x:c r="N70" s="27" t="n">
        <x:v>2199.5</x:v>
      </x:c>
      <x:c r="O70" s="27"/>
      <x:c r="P70" s="27"/>
      <x:c r="Q70" s="1" t="str">
        <x:v>FILL_CUT</x:v>
      </x:c>
      <x:c r="R70" s="1" t="str">
        <x:v>BACKFILL_STAGE</x:v>
      </x:c>
    </x:row>
    <x:row r="71" ht="22" customHeight="1">
      <x:c r="A71" s="1" t="str">
        <x:v>TJ-A1-C10</x:v>
      </x:c>
      <x:c r="B71" s="1" t="str">
        <x:v>CYR_OVERHAND</x:v>
      </x:c>
      <x:c r="C71" s="1" t="str">
        <x:v>TJ-A1</x:v>
      </x:c>
      <x:c r="D71" s="1" t="str">
        <x:v>10</x:v>
      </x:c>
      <x:c r="E71" s="27" t="n">
        <x:v>30</x:v>
      </x:c>
      <x:c r="F71" s="27" t="n">
        <x:v>1.3841631010962345</x:v>
      </x:c>
      <x:c r="G71" s="27" t="n">
        <x:v>3.333333333333485</x:v>
      </x:c>
      <x:c r="H71" s="27"/>
      <x:c r="I71" s="27" t="n">
        <x:f>IF(OR(E71="",E71&lt;=0),"n.a.",J71/E71)</x:f>
        <x:v>4.424329534104294</x:v>
      </x:c>
      <x:c r="J71" s="27" t="n">
        <x:v>132.72988602312884</x:v>
      </x:c>
      <x:c r="K71" s="27"/>
      <x:c r="L71" s="27"/>
      <x:c r="M71" s="27" t="n">
        <x:v>2200</x:v>
      </x:c>
      <x:c r="N71" s="27" t="n">
        <x:v>2203.3333333333335</x:v>
      </x:c>
      <x:c r="O71" s="27"/>
      <x:c r="P71" s="27"/>
      <x:c r="Q71" s="1" t="str">
        <x:v>ORE_CUT</x:v>
      </x:c>
      <x:c r="R71" s="1" t="str">
        <x:v>ORE_STOPE</x:v>
      </x:c>
    </x:row>
    <x:row r="72" ht="22" customHeight="1">
      <x:c r="A72" s="1" t="str">
        <x:v>EXC-TJ-A1-C10</x:v>
      </x:c>
      <x:c r="B72" s="1" t="str">
        <x:v>CYR_OVERHAND</x:v>
      </x:c>
      <x:c r="C72" s="1" t="str">
        <x:v>TJ-A1</x:v>
      </x:c>
      <x:c r="D72" s="1" t="str">
        <x:v>10</x:v>
      </x:c>
      <x:c r="E72" s="27" t="n">
        <x:v>30</x:v>
      </x:c>
      <x:c r="F72" s="27" t="n">
        <x:v>3.5</x:v>
      </x:c>
      <x:c r="G72" s="27" t="n">
        <x:v>3.8333333333333335</x:v>
      </x:c>
      <x:c r="H72" s="27" t="n">
        <x:v>13.041113452612203</x:v>
      </x:c>
      <x:c r="I72" s="27" t="n">
        <x:f>IF(OR(E72="",E72&lt;=0),"n.a.",J72/E72)</x:f>
        <x:v>13.032298920779592</x:v>
      </x:c>
      <x:c r="J72" s="27" t="n">
        <x:v>390.96896762338775</x:v>
      </x:c>
      <x:c r="K72" s="27" t="n">
        <x:v>132.72988602312884</x:v>
      </x:c>
      <x:c r="L72" s="27"/>
      <x:c r="M72" s="27" t="n">
        <x:v>2200</x:v>
      </x:c>
      <x:c r="N72" s="27" t="n">
        <x:v>2203.8333333333335</x:v>
      </x:c>
      <x:c r="O72" s="27" t="n">
        <x:v>0</x:v>
      </x:c>
      <x:c r="P72" s="27"/>
      <x:c r="Q72" s="1" t="str">
        <x:v>EXCAVATION</x:v>
      </x:c>
      <x:c r="R72" s="1" t="str">
        <x:v>CYR_STAGE_EXCAVATION</x:v>
      </x:c>
    </x:row>
    <x:row r="73" ht="22" customHeight="1">
      <x:c r="A73" s="1" t="str">
        <x:v>RLL-TJ-A1-C10</x:v>
      </x:c>
      <x:c r="B73" s="1" t="str">
        <x:v>CYR_OVERHAND</x:v>
      </x:c>
      <x:c r="C73" s="1" t="str">
        <x:v>TJ-A1</x:v>
      </x:c>
      <x:c r="D73" s="1" t="str">
        <x:v>10</x:v>
      </x:c>
      <x:c r="E73" s="27" t="n">
        <x:v>30</x:v>
      </x:c>
      <x:c r="F73" s="27" t="n">
        <x:v>3.5</x:v>
      </x:c>
      <x:c r="G73" s="27" t="n">
        <x:v>2.8333333333333335</x:v>
      </x:c>
      <x:c r="H73" s="27"/>
      <x:c r="I73" s="27" t="n">
        <x:f>IF(OR(E73="",E73&lt;=0),"n.a.",J73/E73)</x:f>
        <x:v>9.91666666666408</x:v>
      </x:c>
      <x:c r="J73" s="27" t="n">
        <x:v>297.4999999999224</x:v>
      </x:c>
      <x:c r="K73" s="27"/>
      <x:c r="L73" s="27" t="n">
        <x:v>297.4999999999224</x:v>
      </x:c>
      <x:c r="M73" s="27" t="n">
        <x:v>2200</x:v>
      </x:c>
      <x:c r="N73" s="27" t="n">
        <x:v>2202.8333333333335</x:v>
      </x:c>
      <x:c r="O73" s="27"/>
      <x:c r="P73" s="27"/>
      <x:c r="Q73" s="1" t="str">
        <x:v>FILL_CUT</x:v>
      </x:c>
      <x:c r="R73" s="1" t="str">
        <x:v>BACKFILL_STAGE</x:v>
      </x:c>
    </x:row>
    <x:row r="74" ht="22" customHeight="1">
      <x:c r="A74" s="1" t="str">
        <x:v>TJ-A1-C11</x:v>
      </x:c>
      <x:c r="B74" s="1" t="str">
        <x:v>CYR_OVERHAND</x:v>
      </x:c>
      <x:c r="C74" s="1" t="str">
        <x:v>TJ-A1</x:v>
      </x:c>
      <x:c r="D74" s="1" t="str">
        <x:v>11</x:v>
      </x:c>
      <x:c r="E74" s="27" t="n">
        <x:v>30</x:v>
      </x:c>
      <x:c r="F74" s="27" t="n">
        <x:v>1.3830208277723095</x:v>
      </x:c>
      <x:c r="G74" s="27" t="n">
        <x:v>3.333333333333485</x:v>
      </x:c>
      <x:c r="H74" s="27"/>
      <x:c r="I74" s="27" t="n">
        <x:f>IF(OR(E74="",E74&lt;=0),"n.a.",J74/E74)</x:f>
        <x:v>4.420225298711587</x:v>
      </x:c>
      <x:c r="J74" s="27" t="n">
        <x:v>132.60675896134762</x:v>
      </x:c>
      <x:c r="K74" s="27"/>
      <x:c r="L74" s="27"/>
      <x:c r="M74" s="27" t="n">
        <x:v>2203.3333333333335</x:v>
      </x:c>
      <x:c r="N74" s="27" t="n">
        <x:v>2206.666666666667</x:v>
      </x:c>
      <x:c r="O74" s="27"/>
      <x:c r="P74" s="27"/>
      <x:c r="Q74" s="1" t="str">
        <x:v>ORE_CUT</x:v>
      </x:c>
      <x:c r="R74" s="1" t="str">
        <x:v>ORE_STOPE</x:v>
      </x:c>
    </x:row>
    <x:row r="75" ht="22" customHeight="1">
      <x:c r="A75" s="1" t="str">
        <x:v>EXC-TJ-A1-C11</x:v>
      </x:c>
      <x:c r="B75" s="1" t="str">
        <x:v>CYR_OVERHAND</x:v>
      </x:c>
      <x:c r="C75" s="1" t="str">
        <x:v>TJ-A1</x:v>
      </x:c>
      <x:c r="D75" s="1" t="str">
        <x:v>11</x:v>
      </x:c>
      <x:c r="E75" s="27" t="n">
        <x:v>30</x:v>
      </x:c>
      <x:c r="F75" s="27" t="n">
        <x:v>3.5</x:v>
      </x:c>
      <x:c r="G75" s="27" t="n">
        <x:v>3.8333333333333335</x:v>
      </x:c>
      <x:c r="H75" s="27" t="n">
        <x:v>13.041113452612203</x:v>
      </x:c>
      <x:c r="I75" s="27" t="n">
        <x:f>IF(OR(E75="",E75&lt;=0),"n.a.",J75/E75)</x:f>
        <x:v>13.032298920777652</x:v>
      </x:c>
      <x:c r="J75" s="27" t="n">
        <x:v>390.96896762332955</x:v>
      </x:c>
      <x:c r="K75" s="27" t="n">
        <x:v>132.60675896134762</x:v>
      </x:c>
      <x:c r="L75" s="27"/>
      <x:c r="M75" s="27" t="n">
        <x:v>2203.3333333333335</x:v>
      </x:c>
      <x:c r="N75" s="27" t="n">
        <x:v>2207.166666666667</x:v>
      </x:c>
      <x:c r="O75" s="27" t="n">
        <x:v>0</x:v>
      </x:c>
      <x:c r="P75" s="27"/>
      <x:c r="Q75" s="1" t="str">
        <x:v>EXCAVATION</x:v>
      </x:c>
      <x:c r="R75" s="1" t="str">
        <x:v>CYR_STAGE_EXCAVATION</x:v>
      </x:c>
    </x:row>
    <x:row r="76" ht="22" customHeight="1">
      <x:c r="A76" s="1" t="str">
        <x:v>RLL-TJ-A1-C11</x:v>
      </x:c>
      <x:c r="B76" s="1" t="str">
        <x:v>CYR_OVERHAND</x:v>
      </x:c>
      <x:c r="C76" s="1" t="str">
        <x:v>TJ-A1</x:v>
      </x:c>
      <x:c r="D76" s="1" t="str">
        <x:v>11</x:v>
      </x:c>
      <x:c r="E76" s="27" t="n">
        <x:v>30</x:v>
      </x:c>
      <x:c r="F76" s="27" t="n">
        <x:v>3.5</x:v>
      </x:c>
      <x:c r="G76" s="27" t="n">
        <x:v>2.8333333333333335</x:v>
      </x:c>
      <x:c r="H76" s="27"/>
      <x:c r="I76" s="27" t="n">
        <x:f>IF(OR(E76="",E76&lt;=0),"n.a.",J76/E76)</x:f>
        <x:v>9.916666666667961</x:v>
      </x:c>
      <x:c r="J76" s="27" t="n">
        <x:v>297.5000000000388</x:v>
      </x:c>
      <x:c r="K76" s="27"/>
      <x:c r="L76" s="27" t="n">
        <x:v>297.5000000000388</x:v>
      </x:c>
      <x:c r="M76" s="27" t="n">
        <x:v>2203.3333333333335</x:v>
      </x:c>
      <x:c r="N76" s="27" t="n">
        <x:v>2206.166666666667</x:v>
      </x:c>
      <x:c r="O76" s="27"/>
      <x:c r="P76" s="27"/>
      <x:c r="Q76" s="1" t="str">
        <x:v>FILL_CUT</x:v>
      </x:c>
      <x:c r="R76" s="1" t="str">
        <x:v>BACKFILL_STAGE</x:v>
      </x:c>
    </x:row>
    <x:row r="77" ht="22" customHeight="1">
      <x:c r="A77" s="1" t="str">
        <x:v>TJ-A1-C12</x:v>
      </x:c>
      <x:c r="B77" s="1" t="str">
        <x:v>CYR_OVERHAND</x:v>
      </x:c>
      <x:c r="C77" s="1" t="str">
        <x:v>TJ-A1</x:v>
      </x:c>
      <x:c r="D77" s="1" t="str">
        <x:v>12</x:v>
      </x:c>
      <x:c r="E77" s="27" t="n">
        <x:v>30</x:v>
      </x:c>
      <x:c r="F77" s="27" t="n">
        <x:v>1.3818785544483916</x:v>
      </x:c>
      <x:c r="G77" s="27" t="n">
        <x:v>3.333333333333485</x:v>
      </x:c>
      <x:c r="H77" s="27"/>
      <x:c r="I77" s="27" t="n">
        <x:f>IF(OR(E77="",E77&lt;=0),"n.a.",J77/E77)</x:f>
        <x:v>4.416130650746123</x:v>
      </x:c>
      <x:c r="J77" s="27" t="n">
        <x:v>132.48391952238367</x:v>
      </x:c>
      <x:c r="K77" s="27"/>
      <x:c r="L77" s="27"/>
      <x:c r="M77" s="27" t="n">
        <x:v>2206.6666666666665</x:v>
      </x:c>
      <x:c r="N77" s="27" t="n">
        <x:v>2210</x:v>
      </x:c>
      <x:c r="O77" s="27"/>
      <x:c r="P77" s="27"/>
      <x:c r="Q77" s="1" t="str">
        <x:v>ORE_CUT</x:v>
      </x:c>
      <x:c r="R77" s="1" t="str">
        <x:v>ORE_STOPE</x:v>
      </x:c>
    </x:row>
    <x:row r="78" ht="22" customHeight="1">
      <x:c r="A78" s="1" t="str">
        <x:v>EXC-TJ-A1-C12</x:v>
      </x:c>
      <x:c r="B78" s="1" t="str">
        <x:v>CYR_OVERHAND</x:v>
      </x:c>
      <x:c r="C78" s="1" t="str">
        <x:v>TJ-A1</x:v>
      </x:c>
      <x:c r="D78" s="1" t="str">
        <x:v>12</x:v>
      </x:c>
      <x:c r="E78" s="27" t="n">
        <x:v>30</x:v>
      </x:c>
      <x:c r="F78" s="27" t="n">
        <x:v>3.5</x:v>
      </x:c>
      <x:c r="G78" s="27" t="n">
        <x:v>3.8333333333333335</x:v>
      </x:c>
      <x:c r="H78" s="27" t="n">
        <x:v>13.041113452612203</x:v>
      </x:c>
      <x:c r="I78" s="27" t="n">
        <x:f>IF(OR(E78="",E78&lt;=0),"n.a.",J78/E78)</x:f>
        <x:v>13.032298920778784</x:v>
      </x:c>
      <x:c r="J78" s="27" t="n">
        <x:v>390.96896762336354</x:v>
      </x:c>
      <x:c r="K78" s="27" t="n">
        <x:v>132.48391952238367</x:v>
      </x:c>
      <x:c r="L78" s="27"/>
      <x:c r="M78" s="27" t="n">
        <x:v>2206.6666666666665</x:v>
      </x:c>
      <x:c r="N78" s="27" t="n">
        <x:v>2210.5</x:v>
      </x:c>
      <x:c r="O78" s="27" t="n">
        <x:v>0</x:v>
      </x:c>
      <x:c r="P78" s="27"/>
      <x:c r="Q78" s="1" t="str">
        <x:v>EXCAVATION</x:v>
      </x:c>
      <x:c r="R78" s="1" t="str">
        <x:v>CYR_STAGE_EXCAVATION</x:v>
      </x:c>
    </x:row>
    <x:row r="79" ht="22" customHeight="1">
      <x:c r="A79" s="1" t="str">
        <x:v>RLL-TJ-A1-C12</x:v>
      </x:c>
      <x:c r="B79" s="1" t="str">
        <x:v>CYR_OVERHAND</x:v>
      </x:c>
      <x:c r="C79" s="1" t="str">
        <x:v>TJ-A1</x:v>
      </x:c>
      <x:c r="D79" s="1" t="str">
        <x:v>12</x:v>
      </x:c>
      <x:c r="E79" s="27" t="n">
        <x:v>30</x:v>
      </x:c>
      <x:c r="F79" s="27" t="n">
        <x:v>3.5</x:v>
      </x:c>
      <x:c r="G79" s="27" t="n">
        <x:v>2.8333333333333335</x:v>
      </x:c>
      <x:c r="H79" s="27"/>
      <x:c r="I79" s="27" t="n">
        <x:f>IF(OR(E79="",E79&lt;=0),"n.a.",J79/E79)</x:f>
        <x:v>9.916666666669252</x:v>
      </x:c>
      <x:c r="J79" s="27" t="n">
        <x:v>297.5000000000776</x:v>
      </x:c>
      <x:c r="K79" s="27"/>
      <x:c r="L79" s="27" t="n">
        <x:v>297.5000000000776</x:v>
      </x:c>
      <x:c r="M79" s="27" t="n">
        <x:v>2206.6666666666665</x:v>
      </x:c>
      <x:c r="N79" s="27" t="n">
        <x:v>2209.5</x:v>
      </x:c>
      <x:c r="O79" s="27"/>
      <x:c r="P79" s="27"/>
      <x:c r="Q79" s="1" t="str">
        <x:v>FILL_CUT</x:v>
      </x:c>
      <x:c r="R79" s="1" t="str">
        <x:v>BACKFILL_STAGE</x:v>
      </x:c>
    </x:row>
    <x:row r="80" ht="22" customHeight="1">
      <x:c r="A80" s="1" t="str">
        <x:v>CX-TJ-A1-RL2170</x:v>
      </x:c>
      <x:c r="B80" s="1" t="str">
        <x:v>CYR_OVERHAND</x:v>
      </x:c>
      <x:c r="C80" s="1" t="str">
        <x:v>TJ-A1</x:v>
      </x:c>
      <x:c r="D80" s="1" t="str"/>
      <x:c r="E80" s="27" t="n">
        <x:v>33.47975980743551</x:v>
      </x:c>
      <x:c r="F80" s="27" t="n">
        <x:v>3.5</x:v>
      </x:c>
      <x:c r="G80" s="27" t="n">
        <x:v>3.5</x:v>
      </x:c>
      <x:c r="H80" s="27" t="n">
        <x:v>11.874446785945535</x:v>
      </x:c>
      <x:c r="I80" s="27" t="n">
        <x:f>IF(OR(E80="",E80&lt;=0),"n.a.",J80/E80)</x:f>
        <x:v>11.862357095152005</x:v>
      </x:c>
      <x:c r="J80" s="27" t="n">
        <x:v>397.1488662957175</x:v>
      </x:c>
      <x:c r="K80" s="27"/>
      <x:c r="L80" s="27"/>
      <x:c r="M80" s="27" t="n">
        <x:v>2170</x:v>
      </x:c>
      <x:c r="N80" s="27" t="n">
        <x:v>2173.5</x:v>
      </x:c>
      <x:c r="O80" s="27" t="n">
        <x:v>0</x:v>
      </x:c>
      <x:c r="P80" s="27" t="n">
        <x:v>19.99999999997188</x:v>
      </x:c>
      <x:c r="Q80" s="1" t="str">
        <x:v>EXCAVATION</x:v>
      </x:c>
      <x:c r="R80" s="1" t="str">
        <x:v>CROSSCUT</x:v>
      </x:c>
    </x:row>
    <x:row r="81" ht="22" customHeight="1">
      <x:c r="A81" s="1" t="str">
        <x:v>CX-TJ-A1-RL2190</x:v>
      </x:c>
      <x:c r="B81" s="1" t="str">
        <x:v>CYR_OVERHAND</x:v>
      </x:c>
      <x:c r="C81" s="1" t="str">
        <x:v>TJ-A1</x:v>
      </x:c>
      <x:c r="D81" s="1" t="str"/>
      <x:c r="E81" s="27" t="n">
        <x:v>33.4797598074355</x:v>
      </x:c>
      <x:c r="F81" s="27" t="n">
        <x:v>3.5</x:v>
      </x:c>
      <x:c r="G81" s="27" t="n">
        <x:v>3.5</x:v>
      </x:c>
      <x:c r="H81" s="27" t="n">
        <x:v>11.874446785945535</x:v>
      </x:c>
      <x:c r="I81" s="27" t="n">
        <x:f>IF(OR(E81="",E81&lt;=0),"n.a.",J81/E81)</x:f>
        <x:v>11.862357095152007</x:v>
      </x:c>
      <x:c r="J81" s="27" t="n">
        <x:v>397.1488662957175</x:v>
      </x:c>
      <x:c r="K81" s="27"/>
      <x:c r="L81" s="27"/>
      <x:c r="M81" s="27" t="n">
        <x:v>2190</x:v>
      </x:c>
      <x:c r="N81" s="27" t="n">
        <x:v>2193.5</x:v>
      </x:c>
      <x:c r="O81" s="27" t="n">
        <x:v>0</x:v>
      </x:c>
      <x:c r="P81" s="27" t="n">
        <x:v>19.99999999997188</x:v>
      </x:c>
      <x:c r="Q81" s="1" t="str">
        <x:v>EXCAVATION</x:v>
      </x:c>
      <x:c r="R81" s="1" t="str">
        <x:v>CROSSCUT</x:v>
      </x:c>
    </x:row>
    <x:row r="82" ht="22" customHeight="1">
      <x:c r="A82" s="1" t="str">
        <x:v>CX-TJ-A1-RL2210</x:v>
      </x:c>
      <x:c r="B82" s="1" t="str">
        <x:v>CYR_OVERHAND</x:v>
      </x:c>
      <x:c r="C82" s="1" t="str">
        <x:v>TJ-A1</x:v>
      </x:c>
      <x:c r="D82" s="1" t="str"/>
      <x:c r="E82" s="27" t="n">
        <x:v>33.47975980743549</x:v>
      </x:c>
      <x:c r="F82" s="27" t="n">
        <x:v>3.5</x:v>
      </x:c>
      <x:c r="G82" s="27" t="n">
        <x:v>3.5</x:v>
      </x:c>
      <x:c r="H82" s="27" t="n">
        <x:v>11.874446785945535</x:v>
      </x:c>
      <x:c r="I82" s="27" t="n">
        <x:f>IF(OR(E82="",E82&lt;=0),"n.a.",J82/E82)</x:f>
        <x:v>11.862357095151864</x:v>
      </x:c>
      <x:c r="J82" s="27" t="n">
        <x:v>397.14886629571265</x:v>
      </x:c>
      <x:c r="K82" s="27"/>
      <x:c r="L82" s="27"/>
      <x:c r="M82" s="27" t="n">
        <x:v>2210</x:v>
      </x:c>
      <x:c r="N82" s="27" t="n">
        <x:v>2213.5</x:v>
      </x:c>
      <x:c r="O82" s="27" t="n">
        <x:v>0</x:v>
      </x:c>
      <x:c r="P82" s="27" t="n">
        <x:v>19.99999999997188</x:v>
      </x:c>
      <x:c r="Q82" s="1" t="str">
        <x:v>EXCAVATION</x:v>
      </x:c>
      <x:c r="R82" s="1" t="str">
        <x:v>CROSSCUT</x:v>
      </x:c>
    </x:row>
    <x:row r="83" ht="22" customHeight="1">
      <x:c r="A83" s="1" t="str">
        <x:v>TJ-A2</x:v>
      </x:c>
      <x:c r="B83" s="1" t="str">
        <x:v>CYR_OVERHAND</x:v>
      </x:c>
      <x:c r="C83" s="1" t="str">
        <x:v>TJ-A2</x:v>
      </x:c>
      <x:c r="D83" s="1" t="str"/>
      <x:c r="E83" s="27" t="n">
        <x:v>30</x:v>
      </x:c>
      <x:c r="F83" s="27" t="n">
        <x:v>1.5603468266253717</x:v>
      </x:c>
      <x:c r="G83" s="27" t="n">
        <x:v>40</x:v>
      </x:c>
      <x:c r="H83" s="27"/>
      <x:c r="I83" s="27" t="n">
        <x:f>IF(OR(E83="",E83&lt;=0),"n.a.",J83/E83)</x:f>
        <x:v>59.60717396004475</x:v>
      </x:c>
      <x:c r="J83" s="27" t="n">
        <x:v>1788.2152188013424</x:v>
      </x:c>
      <x:c r="K83" s="27"/>
      <x:c r="L83" s="27"/>
      <x:c r="M83" s="27" t="n">
        <x:v>2170</x:v>
      </x:c>
      <x:c r="N83" s="27" t="n">
        <x:v>2210</x:v>
      </x:c>
      <x:c r="O83" s="27"/>
      <x:c r="P83" s="27"/>
      <x:c r="Q83" s="1" t="str">
        <x:v>ORE_STOPE_TOTAL</x:v>
      </x:c>
      <x:c r="R83" s="1" t="str">
        <x:v>ORE_STOPE</x:v>
      </x:c>
    </x:row>
    <x:row r="84" ht="22" customHeight="1">
      <x:c r="A84" s="1" t="str">
        <x:v>TJ-A2-C01</x:v>
      </x:c>
      <x:c r="B84" s="1" t="str">
        <x:v>CYR_OVERHAND</x:v>
      </x:c>
      <x:c r="C84" s="1" t="str">
        <x:v>TJ-A2</x:v>
      </x:c>
      <x:c r="D84" s="1" t="str">
        <x:v>1</x:v>
      </x:c>
      <x:c r="E84" s="27" t="n">
        <x:v>30</x:v>
      </x:c>
      <x:c r="F84" s="27" t="n">
        <x:v>1.5603468266253717</x:v>
      </x:c>
      <x:c r="G84" s="27" t="n">
        <x:v>3.333333333333485</x:v>
      </x:c>
      <x:c r="H84" s="27"/>
      <x:c r="I84" s="27" t="n">
        <x:f>IF(OR(E84="",E84&lt;=0),"n.a.",J84/E84)</x:f>
        <x:v>4.9853866400828535</x:v>
      </x:c>
      <x:c r="J84" s="27" t="n">
        <x:v>149.5615992024856</x:v>
      </x:c>
      <x:c r="K84" s="27"/>
      <x:c r="L84" s="27"/>
      <x:c r="M84" s="27" t="n">
        <x:v>2170</x:v>
      </x:c>
      <x:c r="N84" s="27" t="n">
        <x:v>2173.3333333333335</x:v>
      </x:c>
      <x:c r="O84" s="27"/>
      <x:c r="P84" s="27"/>
      <x:c r="Q84" s="1" t="str">
        <x:v>ORE_CUT</x:v>
      </x:c>
      <x:c r="R84" s="1" t="str">
        <x:v>ORE_STOPE</x:v>
      </x:c>
    </x:row>
    <x:row r="85" ht="22" customHeight="1">
      <x:c r="A85" s="1" t="str">
        <x:v>EXC-TJ-A2-C01</x:v>
      </x:c>
      <x:c r="B85" s="1" t="str">
        <x:v>CYR_OVERHAND</x:v>
      </x:c>
      <x:c r="C85" s="1" t="str">
        <x:v>TJ-A2</x:v>
      </x:c>
      <x:c r="D85" s="1" t="str">
        <x:v>1</x:v>
      </x:c>
      <x:c r="E85" s="27" t="n">
        <x:v>30</x:v>
      </x:c>
      <x:c r="F85" s="27" t="n">
        <x:v>3.5</x:v>
      </x:c>
      <x:c r="G85" s="27" t="n">
        <x:v>3.8333333333333335</x:v>
      </x:c>
      <x:c r="H85" s="27" t="n">
        <x:v>13.041113452612203</x:v>
      </x:c>
      <x:c r="I85" s="27" t="n">
        <x:f>IF(OR(E85="",E85&lt;=0),"n.a.",J85/E85)</x:f>
        <x:v>13.032298920779755</x:v>
      </x:c>
      <x:c r="J85" s="27" t="n">
        <x:v>390.96896762339264</x:v>
      </x:c>
      <x:c r="K85" s="27" t="n">
        <x:v>149.5615992024856</x:v>
      </x:c>
      <x:c r="L85" s="27"/>
      <x:c r="M85" s="27" t="n">
        <x:v>2170</x:v>
      </x:c>
      <x:c r="N85" s="27" t="n">
        <x:v>2173.8333333333335</x:v>
      </x:c>
      <x:c r="O85" s="27" t="n">
        <x:v>0</x:v>
      </x:c>
      <x:c r="P85" s="27"/>
      <x:c r="Q85" s="1" t="str">
        <x:v>EXCAVATION</x:v>
      </x:c>
      <x:c r="R85" s="1" t="str">
        <x:v>CYR_STAGE_EXCAVATION</x:v>
      </x:c>
    </x:row>
    <x:row r="86" ht="22" customHeight="1">
      <x:c r="A86" s="1" t="str">
        <x:v>RLL-TJ-A2-C01</x:v>
      </x:c>
      <x:c r="B86" s="1" t="str">
        <x:v>CYR_OVERHAND</x:v>
      </x:c>
      <x:c r="C86" s="1" t="str">
        <x:v>TJ-A2</x:v>
      </x:c>
      <x:c r="D86" s="1" t="str">
        <x:v>1</x:v>
      </x:c>
      <x:c r="E86" s="27" t="n">
        <x:v>30</x:v>
      </x:c>
      <x:c r="F86" s="27" t="n">
        <x:v>3.5</x:v>
      </x:c>
      <x:c r="G86" s="27" t="n">
        <x:v>2.8333333333333335</x:v>
      </x:c>
      <x:c r="H86" s="27"/>
      <x:c r="I86" s="27" t="n">
        <x:f>IF(OR(E86="",E86&lt;=0),"n.a.",J86/E86)</x:f>
        <x:v>9.916666666665373</x:v>
      </x:c>
      <x:c r="J86" s="27" t="n">
        <x:v>297.4999999999612</x:v>
      </x:c>
      <x:c r="K86" s="27"/>
      <x:c r="L86" s="27" t="n">
        <x:v>297.4999999999612</x:v>
      </x:c>
      <x:c r="M86" s="27" t="n">
        <x:v>2170</x:v>
      </x:c>
      <x:c r="N86" s="27" t="n">
        <x:v>2172.8333333333335</x:v>
      </x:c>
      <x:c r="O86" s="27"/>
      <x:c r="P86" s="27"/>
      <x:c r="Q86" s="1" t="str">
        <x:v>FILL_CUT</x:v>
      </x:c>
      <x:c r="R86" s="1" t="str">
        <x:v>BACKFILL_STAGE</x:v>
      </x:c>
    </x:row>
    <x:row r="87" ht="22" customHeight="1">
      <x:c r="A87" s="1" t="str">
        <x:v>TJ-A2-C02</x:v>
      </x:c>
      <x:c r="B87" s="1" t="str">
        <x:v>CYR_OVERHAND</x:v>
      </x:c>
      <x:c r="C87" s="1" t="str">
        <x:v>TJ-A2</x:v>
      </x:c>
      <x:c r="D87" s="1" t="str">
        <x:v>2</x:v>
      </x:c>
      <x:c r="E87" s="27" t="n">
        <x:v>30</x:v>
      </x:c>
      <x:c r="F87" s="27" t="n">
        <x:v>1.5594640446730939</x:v>
      </x:c>
      <x:c r="G87" s="27" t="n">
        <x:v>3.333333333333485</x:v>
      </x:c>
      <x:c r="H87" s="27"/>
      <x:c r="I87" s="27" t="n">
        <x:f>IF(OR(E87="",E87&lt;=0),"n.a.",J87/E87)</x:f>
        <x:v>4.982064396127639</x:v>
      </x:c>
      <x:c r="J87" s="27" t="n">
        <x:v>149.46193188382918</x:v>
      </x:c>
      <x:c r="K87" s="27"/>
      <x:c r="L87" s="27"/>
      <x:c r="M87" s="27" t="n">
        <x:v>2173.3333333333335</x:v>
      </x:c>
      <x:c r="N87" s="27" t="n">
        <x:v>2176.666666666667</x:v>
      </x:c>
      <x:c r="O87" s="27"/>
      <x:c r="P87" s="27"/>
      <x:c r="Q87" s="1" t="str">
        <x:v>ORE_CUT</x:v>
      </x:c>
      <x:c r="R87" s="1" t="str">
        <x:v>ORE_STOPE</x:v>
      </x:c>
    </x:row>
    <x:row r="88" ht="22" customHeight="1">
      <x:c r="A88" s="1" t="str">
        <x:v>EXC-TJ-A2-C02</x:v>
      </x:c>
      <x:c r="B88" s="1" t="str">
        <x:v>CYR_OVERHAND</x:v>
      </x:c>
      <x:c r="C88" s="1" t="str">
        <x:v>TJ-A2</x:v>
      </x:c>
      <x:c r="D88" s="1" t="str">
        <x:v>2</x:v>
      </x:c>
      <x:c r="E88" s="27" t="n">
        <x:v>30</x:v>
      </x:c>
      <x:c r="F88" s="27" t="n">
        <x:v>3.5</x:v>
      </x:c>
      <x:c r="G88" s="27" t="n">
        <x:v>3.8333333333333335</x:v>
      </x:c>
      <x:c r="H88" s="27" t="n">
        <x:v>13.041113452612203</x:v>
      </x:c>
      <x:c r="I88" s="27" t="n">
        <x:f>IF(OR(E88="",E88&lt;=0),"n.a.",J88/E88)</x:f>
        <x:v>13.03229892078024</x:v>
      </x:c>
      <x:c r="J88" s="27" t="n">
        <x:v>390.9689676234072</x:v>
      </x:c>
      <x:c r="K88" s="27" t="n">
        <x:v>149.46193188382918</x:v>
      </x:c>
      <x:c r="L88" s="27"/>
      <x:c r="M88" s="27" t="n">
        <x:v>2173.3333333333335</x:v>
      </x:c>
      <x:c r="N88" s="27" t="n">
        <x:v>2177.166666666667</x:v>
      </x:c>
      <x:c r="O88" s="27" t="n">
        <x:v>0</x:v>
      </x:c>
      <x:c r="P88" s="27"/>
      <x:c r="Q88" s="1" t="str">
        <x:v>EXCAVATION</x:v>
      </x:c>
      <x:c r="R88" s="1" t="str">
        <x:v>CYR_STAGE_EXCAVATION</x:v>
      </x:c>
    </x:row>
    <x:row r="89" ht="22" customHeight="1">
      <x:c r="A89" s="1" t="str">
        <x:v>RLL-TJ-A2-C02</x:v>
      </x:c>
      <x:c r="B89" s="1" t="str">
        <x:v>CYR_OVERHAND</x:v>
      </x:c>
      <x:c r="C89" s="1" t="str">
        <x:v>TJ-A2</x:v>
      </x:c>
      <x:c r="D89" s="1" t="str">
        <x:v>2</x:v>
      </x:c>
      <x:c r="E89" s="27" t="n">
        <x:v>30</x:v>
      </x:c>
      <x:c r="F89" s="27" t="n">
        <x:v>3.5</x:v>
      </x:c>
      <x:c r="G89" s="27" t="n">
        <x:v>2.8333333333333335</x:v>
      </x:c>
      <x:c r="H89" s="27"/>
      <x:c r="I89" s="27" t="n">
        <x:f>IF(OR(E89="",E89&lt;=0),"n.a.",J89/E89)</x:f>
        <x:v>9.916666666667961</x:v>
      </x:c>
      <x:c r="J89" s="27" t="n">
        <x:v>297.5000000000388</x:v>
      </x:c>
      <x:c r="K89" s="27"/>
      <x:c r="L89" s="27" t="n">
        <x:v>297.5000000000388</x:v>
      </x:c>
      <x:c r="M89" s="27" t="n">
        <x:v>2173.3333333333335</x:v>
      </x:c>
      <x:c r="N89" s="27" t="n">
        <x:v>2176.166666666667</x:v>
      </x:c>
      <x:c r="O89" s="27"/>
      <x:c r="P89" s="27"/>
      <x:c r="Q89" s="1" t="str">
        <x:v>FILL_CUT</x:v>
      </x:c>
      <x:c r="R89" s="1" t="str">
        <x:v>BACKFILL_STAGE</x:v>
      </x:c>
    </x:row>
    <x:row r="90" ht="22" customHeight="1">
      <x:c r="A90" s="1" t="str">
        <x:v>TJ-A2-C03</x:v>
      </x:c>
      <x:c r="B90" s="1" t="str">
        <x:v>CYR_OVERHAND</x:v>
      </x:c>
      <x:c r="C90" s="1" t="str">
        <x:v>TJ-A2</x:v>
      </x:c>
      <x:c r="D90" s="1" t="str">
        <x:v>3</x:v>
      </x:c>
      <x:c r="E90" s="27" t="n">
        <x:v>30</x:v>
      </x:c>
      <x:c r="F90" s="27" t="n">
        <x:v>1.5585812627208178</x:v>
      </x:c>
      <x:c r="G90" s="27" t="n">
        <x:v>3.333333333333485</x:v>
      </x:c>
      <x:c r="H90" s="27"/>
      <x:c r="I90" s="27" t="n">
        <x:f>IF(OR(E90="",E90&lt;=0),"n.a.",J90/E90)</x:f>
        <x:v>4.978747858826723</x:v>
      </x:c>
      <x:c r="J90" s="27" t="n">
        <x:v>149.3624357648017</x:v>
      </x:c>
      <x:c r="K90" s="27"/>
      <x:c r="L90" s="27"/>
      <x:c r="M90" s="27" t="n">
        <x:v>2176.6666666666665</x:v>
      </x:c>
      <x:c r="N90" s="27" t="n">
        <x:v>2180</x:v>
      </x:c>
      <x:c r="O90" s="27"/>
      <x:c r="P90" s="27"/>
      <x:c r="Q90" s="1" t="str">
        <x:v>ORE_CUT</x:v>
      </x:c>
      <x:c r="R90" s="1" t="str">
        <x:v>ORE_STOPE</x:v>
      </x:c>
    </x:row>
    <x:row r="91" ht="22" customHeight="1">
      <x:c r="A91" s="1" t="str">
        <x:v>EXC-TJ-A2-C03</x:v>
      </x:c>
      <x:c r="B91" s="1" t="str">
        <x:v>CYR_OVERHAND</x:v>
      </x:c>
      <x:c r="C91" s="1" t="str">
        <x:v>TJ-A2</x:v>
      </x:c>
      <x:c r="D91" s="1" t="str">
        <x:v>3</x:v>
      </x:c>
      <x:c r="E91" s="27" t="n">
        <x:v>30</x:v>
      </x:c>
      <x:c r="F91" s="27" t="n">
        <x:v>3.5</x:v>
      </x:c>
      <x:c r="G91" s="27" t="n">
        <x:v>3.8333333333333335</x:v>
      </x:c>
      <x:c r="H91" s="27" t="n">
        <x:v>13.041113452612203</x:v>
      </x:c>
      <x:c r="I91" s="27" t="n">
        <x:f>IF(OR(E91="",E91&lt;=0),"n.a.",J91/E91)</x:f>
        <x:v>13.032298920781857</x:v>
      </x:c>
      <x:c r="J91" s="27" t="n">
        <x:v>390.9689676234557</x:v>
      </x:c>
      <x:c r="K91" s="27" t="n">
        <x:v>149.3624357648017</x:v>
      </x:c>
      <x:c r="L91" s="27"/>
      <x:c r="M91" s="27" t="n">
        <x:v>2176.6666666666665</x:v>
      </x:c>
      <x:c r="N91" s="27" t="n">
        <x:v>2180.5</x:v>
      </x:c>
      <x:c r="O91" s="27" t="n">
        <x:v>0</x:v>
      </x:c>
      <x:c r="P91" s="27"/>
      <x:c r="Q91" s="1" t="str">
        <x:v>EXCAVATION</x:v>
      </x:c>
      <x:c r="R91" s="1" t="str">
        <x:v>CYR_STAGE_EXCAVATION</x:v>
      </x:c>
    </x:row>
    <x:row r="92" ht="22" customHeight="1">
      <x:c r="A92" s="1" t="str">
        <x:v>RLL-TJ-A2-C03</x:v>
      </x:c>
      <x:c r="B92" s="1" t="str">
        <x:v>CYR_OVERHAND</x:v>
      </x:c>
      <x:c r="C92" s="1" t="str">
        <x:v>TJ-A2</x:v>
      </x:c>
      <x:c r="D92" s="1" t="str">
        <x:v>3</x:v>
      </x:c>
      <x:c r="E92" s="27" t="n">
        <x:v>30</x:v>
      </x:c>
      <x:c r="F92" s="27" t="n">
        <x:v>3.5</x:v>
      </x:c>
      <x:c r="G92" s="27" t="n">
        <x:v>2.8333333333333335</x:v>
      </x:c>
      <x:c r="H92" s="27"/>
      <x:c r="I92" s="27" t="n">
        <x:f>IF(OR(E92="",E92&lt;=0),"n.a.",J92/E92)</x:f>
        <x:v>9.91666666667184</x:v>
      </x:c>
      <x:c r="J92" s="27" t="n">
        <x:v>297.50000000015524</x:v>
      </x:c>
      <x:c r="K92" s="27"/>
      <x:c r="L92" s="27" t="n">
        <x:v>297.50000000015524</x:v>
      </x:c>
      <x:c r="M92" s="27" t="n">
        <x:v>2176.6666666666665</x:v>
      </x:c>
      <x:c r="N92" s="27" t="n">
        <x:v>2179.5</x:v>
      </x:c>
      <x:c r="O92" s="27"/>
      <x:c r="P92" s="27"/>
      <x:c r="Q92" s="1" t="str">
        <x:v>FILL_CUT</x:v>
      </x:c>
      <x:c r="R92" s="1" t="str">
        <x:v>BACKFILL_STAGE</x:v>
      </x:c>
    </x:row>
    <x:row r="93" ht="22" customHeight="1">
      <x:c r="A93" s="1" t="str">
        <x:v>TJ-A2-C04</x:v>
      </x:c>
      <x:c r="B93" s="1" t="str">
        <x:v>CYR_OVERHAND</x:v>
      </x:c>
      <x:c r="C93" s="1" t="str">
        <x:v>TJ-A2</x:v>
      </x:c>
      <x:c r="D93" s="1" t="str">
        <x:v>4</x:v>
      </x:c>
      <x:c r="E93" s="27" t="n">
        <x:v>30</x:v>
      </x:c>
      <x:c r="F93" s="27" t="n">
        <x:v>1.5576984807685363</x:v>
      </x:c>
      <x:c r="G93" s="27" t="n">
        <x:v>3.333333333333485</x:v>
      </x:c>
      <x:c r="H93" s="27"/>
      <x:c r="I93" s="27" t="n">
        <x:f>IF(OR(E93="",E93&lt;=0),"n.a.",J93/E93)</x:f>
        <x:v>4.975439755049471</x:v>
      </x:c>
      <x:c r="J93" s="27" t="n">
        <x:v>149.26319265148413</x:v>
      </x:c>
      <x:c r="K93" s="27"/>
      <x:c r="L93" s="27"/>
      <x:c r="M93" s="27" t="n">
        <x:v>2180</x:v>
      </x:c>
      <x:c r="N93" s="27" t="n">
        <x:v>2183.3333333333335</x:v>
      </x:c>
      <x:c r="O93" s="27"/>
      <x:c r="P93" s="27"/>
      <x:c r="Q93" s="1" t="str">
        <x:v>ORE_CUT</x:v>
      </x:c>
      <x:c r="R93" s="1" t="str">
        <x:v>ORE_STOPE</x:v>
      </x:c>
    </x:row>
    <x:row r="94" ht="22" customHeight="1">
      <x:c r="A94" s="1" t="str">
        <x:v>EXC-TJ-A2-C04</x:v>
      </x:c>
      <x:c r="B94" s="1" t="str">
        <x:v>CYR_OVERHAND</x:v>
      </x:c>
      <x:c r="C94" s="1" t="str">
        <x:v>TJ-A2</x:v>
      </x:c>
      <x:c r="D94" s="1" t="str">
        <x:v>4</x:v>
      </x:c>
      <x:c r="E94" s="27" t="n">
        <x:v>30</x:v>
      </x:c>
      <x:c r="F94" s="27" t="n">
        <x:v>3.5</x:v>
      </x:c>
      <x:c r="G94" s="27" t="n">
        <x:v>3.8333333333333335</x:v>
      </x:c>
      <x:c r="H94" s="27" t="n">
        <x:v>13.041113452612203</x:v>
      </x:c>
      <x:c r="I94" s="27" t="n">
        <x:f>IF(OR(E94="",E94&lt;=0),"n.a.",J94/E94)</x:f>
        <x:v>13.032298920780725</x:v>
      </x:c>
      <x:c r="J94" s="27" t="n">
        <x:v>390.96896762342175</x:v>
      </x:c>
      <x:c r="K94" s="27" t="n">
        <x:v>149.26319265148413</x:v>
      </x:c>
      <x:c r="L94" s="27"/>
      <x:c r="M94" s="27" t="n">
        <x:v>2180</x:v>
      </x:c>
      <x:c r="N94" s="27" t="n">
        <x:v>2183.8333333333335</x:v>
      </x:c>
      <x:c r="O94" s="27" t="n">
        <x:v>0</x:v>
      </x:c>
      <x:c r="P94" s="27"/>
      <x:c r="Q94" s="1" t="str">
        <x:v>EXCAVATION</x:v>
      </x:c>
      <x:c r="R94" s="1" t="str">
        <x:v>CYR_STAGE_EXCAVATION</x:v>
      </x:c>
    </x:row>
    <x:row r="95" ht="22" customHeight="1">
      <x:c r="A95" s="1" t="str">
        <x:v>RLL-TJ-A2-C04</x:v>
      </x:c>
      <x:c r="B95" s="1" t="str">
        <x:v>CYR_OVERHAND</x:v>
      </x:c>
      <x:c r="C95" s="1" t="str">
        <x:v>TJ-A2</x:v>
      </x:c>
      <x:c r="D95" s="1" t="str">
        <x:v>4</x:v>
      </x:c>
      <x:c r="E95" s="27" t="n">
        <x:v>30</x:v>
      </x:c>
      <x:c r="F95" s="27" t="n">
        <x:v>3.5</x:v>
      </x:c>
      <x:c r="G95" s="27" t="n">
        <x:v>2.8333333333333335</x:v>
      </x:c>
      <x:c r="H95" s="27"/>
      <x:c r="I95" s="27" t="n">
        <x:f>IF(OR(E95="",E95&lt;=0),"n.a.",J95/E95)</x:f>
        <x:v>9.916666666666666</x:v>
      </x:c>
      <x:c r="J95" s="27" t="n">
        <x:v>297.5</x:v>
      </x:c>
      <x:c r="K95" s="27"/>
      <x:c r="L95" s="27" t="n">
        <x:v>297.5</x:v>
      </x:c>
      <x:c r="M95" s="27" t="n">
        <x:v>2180</x:v>
      </x:c>
      <x:c r="N95" s="27" t="n">
        <x:v>2182.8333333333335</x:v>
      </x:c>
      <x:c r="O95" s="27"/>
      <x:c r="P95" s="27"/>
      <x:c r="Q95" s="1" t="str">
        <x:v>FILL_CUT</x:v>
      </x:c>
      <x:c r="R95" s="1" t="str">
        <x:v>BACKFILL_STAGE</x:v>
      </x:c>
    </x:row>
    <x:row r="96" ht="22" customHeight="1">
      <x:c r="A96" s="1" t="str">
        <x:v>TJ-A2-C05</x:v>
      </x:c>
      <x:c r="B96" s="1" t="str">
        <x:v>CYR_OVERHAND</x:v>
      </x:c>
      <x:c r="C96" s="1" t="str">
        <x:v>TJ-A2</x:v>
      </x:c>
      <x:c r="D96" s="1" t="str">
        <x:v>5</x:v>
      </x:c>
      <x:c r="E96" s="27" t="n">
        <x:v>30</x:v>
      </x:c>
      <x:c r="F96" s="27" t="n">
        <x:v>1.5568156988162656</x:v>
      </x:c>
      <x:c r="G96" s="27" t="n">
        <x:v>3.333333333333485</x:v>
      </x:c>
      <x:c r="H96" s="27"/>
      <x:c r="I96" s="27" t="n">
        <x:f>IF(OR(E96="",E96&lt;=0),"n.a.",J96/E96)</x:f>
        <x:v>4.972139138636744</x:v>
      </x:c>
      <x:c r="J96" s="27" t="n">
        <x:v>149.16417415910232</x:v>
      </x:c>
      <x:c r="K96" s="27"/>
      <x:c r="L96" s="27"/>
      <x:c r="M96" s="27" t="n">
        <x:v>2183.3333333333335</x:v>
      </x:c>
      <x:c r="N96" s="27" t="n">
        <x:v>2186.666666666667</x:v>
      </x:c>
      <x:c r="O96" s="27"/>
      <x:c r="P96" s="27"/>
      <x:c r="Q96" s="1" t="str">
        <x:v>ORE_CUT</x:v>
      </x:c>
      <x:c r="R96" s="1" t="str">
        <x:v>ORE_STOPE</x:v>
      </x:c>
    </x:row>
    <x:row r="97" ht="22" customHeight="1">
      <x:c r="A97" s="1" t="str">
        <x:v>EXC-TJ-A2-C05</x:v>
      </x:c>
      <x:c r="B97" s="1" t="str">
        <x:v>CYR_OVERHAND</x:v>
      </x:c>
      <x:c r="C97" s="1" t="str">
        <x:v>TJ-A2</x:v>
      </x:c>
      <x:c r="D97" s="1" t="str">
        <x:v>5</x:v>
      </x:c>
      <x:c r="E97" s="27" t="n">
        <x:v>30</x:v>
      </x:c>
      <x:c r="F97" s="27" t="n">
        <x:v>3.5</x:v>
      </x:c>
      <x:c r="G97" s="27" t="n">
        <x:v>3.8333333333333335</x:v>
      </x:c>
      <x:c r="H97" s="27" t="n">
        <x:v>13.041113452612203</x:v>
      </x:c>
      <x:c r="I97" s="27" t="n">
        <x:f>IF(OR(E97="",E97&lt;=0),"n.a.",J97/E97)</x:f>
        <x:v>13.032298920778137</x:v>
      </x:c>
      <x:c r="J97" s="27" t="n">
        <x:v>390.9689676233441</x:v>
      </x:c>
      <x:c r="K97" s="27" t="n">
        <x:v>149.16417415910232</x:v>
      </x:c>
      <x:c r="L97" s="27"/>
      <x:c r="M97" s="27" t="n">
        <x:v>2183.3333333333335</x:v>
      </x:c>
      <x:c r="N97" s="27" t="n">
        <x:v>2187.166666666667</x:v>
      </x:c>
      <x:c r="O97" s="27" t="n">
        <x:v>0</x:v>
      </x:c>
      <x:c r="P97" s="27"/>
      <x:c r="Q97" s="1" t="str">
        <x:v>EXCAVATION</x:v>
      </x:c>
      <x:c r="R97" s="1" t="str">
        <x:v>CYR_STAGE_EXCAVATION</x:v>
      </x:c>
    </x:row>
    <x:row r="98" ht="22" customHeight="1">
      <x:c r="A98" s="1" t="str">
        <x:v>RLL-TJ-A2-C05</x:v>
      </x:c>
      <x:c r="B98" s="1" t="str">
        <x:v>CYR_OVERHAND</x:v>
      </x:c>
      <x:c r="C98" s="1" t="str">
        <x:v>TJ-A2</x:v>
      </x:c>
      <x:c r="D98" s="1" t="str">
        <x:v>5</x:v>
      </x:c>
      <x:c r="E98" s="27" t="n">
        <x:v>30</x:v>
      </x:c>
      <x:c r="F98" s="27" t="n">
        <x:v>3.5</x:v>
      </x:c>
      <x:c r="G98" s="27" t="n">
        <x:v>2.8333333333333335</x:v>
      </x:c>
      <x:c r="H98" s="27"/>
      <x:c r="I98" s="27" t="n">
        <x:f>IF(OR(E98="",E98&lt;=0),"n.a.",J98/E98)</x:f>
        <x:v>9.916666666669252</x:v>
      </x:c>
      <x:c r="J98" s="27" t="n">
        <x:v>297.5000000000776</x:v>
      </x:c>
      <x:c r="K98" s="27"/>
      <x:c r="L98" s="27" t="n">
        <x:v>297.5000000000776</x:v>
      </x:c>
      <x:c r="M98" s="27" t="n">
        <x:v>2183.3333333333335</x:v>
      </x:c>
      <x:c r="N98" s="27" t="n">
        <x:v>2186.166666666667</x:v>
      </x:c>
      <x:c r="O98" s="27"/>
      <x:c r="P98" s="27"/>
      <x:c r="Q98" s="1" t="str">
        <x:v>FILL_CUT</x:v>
      </x:c>
      <x:c r="R98" s="1" t="str">
        <x:v>BACKFILL_STAGE</x:v>
      </x:c>
    </x:row>
    <x:row r="99" ht="22" customHeight="1">
      <x:c r="A99" s="1" t="str">
        <x:v>TJ-A2-C06</x:v>
      </x:c>
      <x:c r="B99" s="1" t="str">
        <x:v>CYR_OVERHAND</x:v>
      </x:c>
      <x:c r="C99" s="1" t="str">
        <x:v>TJ-A2</x:v>
      </x:c>
      <x:c r="D99" s="1" t="str">
        <x:v>6</x:v>
      </x:c>
      <x:c r="E99" s="27" t="n">
        <x:v>30</x:v>
      </x:c>
      <x:c r="F99" s="27" t="n">
        <x:v>1.5559329168639842</x:v>
      </x:c>
      <x:c r="G99" s="27" t="n">
        <x:v>3.333333333333485</x:v>
      </x:c>
      <x:c r="H99" s="27"/>
      <x:c r="I99" s="27" t="n">
        <x:f>IF(OR(E99="",E99&lt;=0),"n.a.",J99/E99)</x:f>
        <x:v>4.968852690185183</x:v>
      </x:c>
      <x:c r="J99" s="27" t="n">
        <x:v>149.06558070555548</x:v>
      </x:c>
      <x:c r="K99" s="27"/>
      <x:c r="L99" s="27"/>
      <x:c r="M99" s="27" t="n">
        <x:v>2186.6666666666665</x:v>
      </x:c>
      <x:c r="N99" s="27" t="n">
        <x:v>2190</x:v>
      </x:c>
      <x:c r="O99" s="27"/>
      <x:c r="P99" s="27"/>
      <x:c r="Q99" s="1" t="str">
        <x:v>ORE_CUT</x:v>
      </x:c>
      <x:c r="R99" s="1" t="str">
        <x:v>ORE_STOPE</x:v>
      </x:c>
    </x:row>
    <x:row r="100" ht="22" customHeight="1">
      <x:c r="A100" s="1" t="str">
        <x:v>EXC-TJ-A2-C06</x:v>
      </x:c>
      <x:c r="B100" s="1" t="str">
        <x:v>CYR_OVERHAND</x:v>
      </x:c>
      <x:c r="C100" s="1" t="str">
        <x:v>TJ-A2</x:v>
      </x:c>
      <x:c r="D100" s="1" t="str">
        <x:v>6</x:v>
      </x:c>
      <x:c r="E100" s="27" t="n">
        <x:v>30</x:v>
      </x:c>
      <x:c r="F100" s="27" t="n">
        <x:v>3.5</x:v>
      </x:c>
      <x:c r="G100" s="27" t="n">
        <x:v>3.8333333333333335</x:v>
      </x:c>
      <x:c r="H100" s="27" t="n">
        <x:v>13.041113452612203</x:v>
      </x:c>
      <x:c r="I100" s="27" t="n">
        <x:f>IF(OR(E100="",E100&lt;=0),"n.a.",J100/E100)</x:f>
        <x:v>13.032298920778945</x:v>
      </x:c>
      <x:c r="J100" s="27" t="n">
        <x:v>390.96896762336837</x:v>
      </x:c>
      <x:c r="K100" s="27" t="n">
        <x:v>149.06558070555548</x:v>
      </x:c>
      <x:c r="L100" s="27"/>
      <x:c r="M100" s="27" t="n">
        <x:v>2186.6666666666665</x:v>
      </x:c>
      <x:c r="N100" s="27" t="n">
        <x:v>2190.5</x:v>
      </x:c>
      <x:c r="O100" s="27" t="n">
        <x:v>0</x:v>
      </x:c>
      <x:c r="P100" s="27"/>
      <x:c r="Q100" s="1" t="str">
        <x:v>EXCAVATION</x:v>
      </x:c>
      <x:c r="R100" s="1" t="str">
        <x:v>CYR_STAGE_EXCAVATION</x:v>
      </x:c>
    </x:row>
    <x:row r="101" ht="22" customHeight="1">
      <x:c r="A101" s="1" t="str">
        <x:v>RLL-TJ-A2-C06</x:v>
      </x:c>
      <x:c r="B101" s="1" t="str">
        <x:v>CYR_OVERHAND</x:v>
      </x:c>
      <x:c r="C101" s="1" t="str">
        <x:v>TJ-A2</x:v>
      </x:c>
      <x:c r="D101" s="1" t="str">
        <x:v>6</x:v>
      </x:c>
      <x:c r="E101" s="27" t="n">
        <x:v>30</x:v>
      </x:c>
      <x:c r="F101" s="27" t="n">
        <x:v>3.5</x:v>
      </x:c>
      <x:c r="G101" s="27" t="n">
        <x:v>2.8333333333333335</x:v>
      </x:c>
      <x:c r="H101" s="27"/>
      <x:c r="I101" s="27" t="n">
        <x:f>IF(OR(E101="",E101&lt;=0),"n.a.",J101/E101)</x:f>
        <x:v>9.916666666665373</x:v>
      </x:c>
      <x:c r="J101" s="27" t="n">
        <x:v>297.4999999999612</x:v>
      </x:c>
      <x:c r="K101" s="27"/>
      <x:c r="L101" s="27" t="n">
        <x:v>297.4999999999612</x:v>
      </x:c>
      <x:c r="M101" s="27" t="n">
        <x:v>2186.6666666666665</x:v>
      </x:c>
      <x:c r="N101" s="27" t="n">
        <x:v>2189.5</x:v>
      </x:c>
      <x:c r="O101" s="27"/>
      <x:c r="P101" s="27"/>
      <x:c r="Q101" s="1" t="str">
        <x:v>FILL_CUT</x:v>
      </x:c>
      <x:c r="R101" s="1" t="str">
        <x:v>BACKFILL_STAGE</x:v>
      </x:c>
    </x:row>
    <x:row r="102" ht="22" customHeight="1">
      <x:c r="A102" s="1" t="str">
        <x:v>TJ-A2-C07</x:v>
      </x:c>
      <x:c r="B102" s="1" t="str">
        <x:v>CYR_OVERHAND</x:v>
      </x:c>
      <x:c r="C102" s="1" t="str">
        <x:v>TJ-A2</x:v>
      </x:c>
      <x:c r="D102" s="1" t="str">
        <x:v>7</x:v>
      </x:c>
      <x:c r="E102" s="27" t="n">
        <x:v>30</x:v>
      </x:c>
      <x:c r="F102" s="27" t="n">
        <x:v>1.5550501349117098</x:v>
      </x:c>
      <x:c r="G102" s="27" t="n">
        <x:v>3.333333333333485</x:v>
      </x:c>
      <x:c r="H102" s="27"/>
      <x:c r="I102" s="27" t="n">
        <x:f>IF(OR(E102="",E102&lt;=0),"n.a.",J102/E102)</x:f>
        <x:v>4.965573543310003</x:v>
      </x:c>
      <x:c r="J102" s="27" t="n">
        <x:v>148.9672062993001</x:v>
      </x:c>
      <x:c r="K102" s="27"/>
      <x:c r="L102" s="27"/>
      <x:c r="M102" s="27" t="n">
        <x:v>2190</x:v>
      </x:c>
      <x:c r="N102" s="27" t="n">
        <x:v>2193.3333333333335</x:v>
      </x:c>
      <x:c r="O102" s="27"/>
      <x:c r="P102" s="27"/>
      <x:c r="Q102" s="1" t="str">
        <x:v>ORE_CUT</x:v>
      </x:c>
      <x:c r="R102" s="1" t="str">
        <x:v>ORE_STOPE</x:v>
      </x:c>
    </x:row>
    <x:row r="103" ht="22" customHeight="1">
      <x:c r="A103" s="1" t="str">
        <x:v>EXC-TJ-A2-C07</x:v>
      </x:c>
      <x:c r="B103" s="1" t="str">
        <x:v>CYR_OVERHAND</x:v>
      </x:c>
      <x:c r="C103" s="1" t="str">
        <x:v>TJ-A2</x:v>
      </x:c>
      <x:c r="D103" s="1" t="str">
        <x:v>7</x:v>
      </x:c>
      <x:c r="E103" s="27" t="n">
        <x:v>30</x:v>
      </x:c>
      <x:c r="F103" s="27" t="n">
        <x:v>3.5</x:v>
      </x:c>
      <x:c r="G103" s="27" t="n">
        <x:v>3.8333333333333335</x:v>
      </x:c>
      <x:c r="H103" s="27" t="n">
        <x:v>13.041113452612203</x:v>
      </x:c>
      <x:c r="I103" s="27" t="n">
        <x:f>IF(OR(E103="",E103&lt;=0),"n.a.",J103/E103)</x:f>
        <x:v>13.03229892078024</x:v>
      </x:c>
      <x:c r="J103" s="27" t="n">
        <x:v>390.9689676234072</x:v>
      </x:c>
      <x:c r="K103" s="27" t="n">
        <x:v>148.9672062993001</x:v>
      </x:c>
      <x:c r="L103" s="27"/>
      <x:c r="M103" s="27" t="n">
        <x:v>2190</x:v>
      </x:c>
      <x:c r="N103" s="27" t="n">
        <x:v>2193.8333333333335</x:v>
      </x:c>
      <x:c r="O103" s="27" t="n">
        <x:v>0</x:v>
      </x:c>
      <x:c r="P103" s="27"/>
      <x:c r="Q103" s="1" t="str">
        <x:v>EXCAVATION</x:v>
      </x:c>
      <x:c r="R103" s="1" t="str">
        <x:v>CYR_STAGE_EXCAVATION</x:v>
      </x:c>
    </x:row>
    <x:row r="104" ht="22" customHeight="1">
      <x:c r="A104" s="1" t="str">
        <x:v>RLL-TJ-A2-C07</x:v>
      </x:c>
      <x:c r="B104" s="1" t="str">
        <x:v>CYR_OVERHAND</x:v>
      </x:c>
      <x:c r="C104" s="1" t="str">
        <x:v>TJ-A2</x:v>
      </x:c>
      <x:c r="D104" s="1" t="str">
        <x:v>7</x:v>
      </x:c>
      <x:c r="E104" s="27" t="n">
        <x:v>30</x:v>
      </x:c>
      <x:c r="F104" s="27" t="n">
        <x:v>3.5</x:v>
      </x:c>
      <x:c r="G104" s="27" t="n">
        <x:v>2.8333333333333335</x:v>
      </x:c>
      <x:c r="H104" s="27"/>
      <x:c r="I104" s="27" t="n">
        <x:f>IF(OR(E104="",E104&lt;=0),"n.a.",J104/E104)</x:f>
        <x:v>9.916666666670547</x:v>
      </x:c>
      <x:c r="J104" s="27" t="n">
        <x:v>297.5000000001164</x:v>
      </x:c>
      <x:c r="K104" s="27"/>
      <x:c r="L104" s="27" t="n">
        <x:v>297.5000000001164</x:v>
      </x:c>
      <x:c r="M104" s="27" t="n">
        <x:v>2190</x:v>
      </x:c>
      <x:c r="N104" s="27" t="n">
        <x:v>2192.8333333333335</x:v>
      </x:c>
      <x:c r="O104" s="27"/>
      <x:c r="P104" s="27"/>
      <x:c r="Q104" s="1" t="str">
        <x:v>FILL_CUT</x:v>
      </x:c>
      <x:c r="R104" s="1" t="str">
        <x:v>BACKFILL_STAGE</x:v>
      </x:c>
    </x:row>
    <x:row r="105" ht="22" customHeight="1">
      <x:c r="A105" s="1" t="str">
        <x:v>TJ-A2-C08</x:v>
      </x:c>
      <x:c r="B105" s="1" t="str">
        <x:v>CYR_OVERHAND</x:v>
      </x:c>
      <x:c r="C105" s="1" t="str">
        <x:v>TJ-A2</x:v>
      </x:c>
      <x:c r="D105" s="1" t="str">
        <x:v>8</x:v>
      </x:c>
      <x:c r="E105" s="27" t="n">
        <x:v>30</x:v>
      </x:c>
      <x:c r="F105" s="27" t="n">
        <x:v>1.5541673529594284</x:v>
      </x:c>
      <x:c r="G105" s="27" t="n">
        <x:v>3.333333333333485</x:v>
      </x:c>
      <x:c r="H105" s="27"/>
      <x:c r="I105" s="27" t="n">
        <x:f>IF(OR(E105="",E105&lt;=0),"n.a.",J105/E105)</x:f>
        <x:v>4.962301126411694</x:v>
      </x:c>
      <x:c r="J105" s="27" t="n">
        <x:v>148.86903379235082</x:v>
      </x:c>
      <x:c r="K105" s="27"/>
      <x:c r="L105" s="27"/>
      <x:c r="M105" s="27" t="n">
        <x:v>2193.3333333333335</x:v>
      </x:c>
      <x:c r="N105" s="27" t="n">
        <x:v>2196.666666666667</x:v>
      </x:c>
      <x:c r="O105" s="27"/>
      <x:c r="P105" s="27"/>
      <x:c r="Q105" s="1" t="str">
        <x:v>ORE_CUT</x:v>
      </x:c>
      <x:c r="R105" s="1" t="str">
        <x:v>ORE_STOPE</x:v>
      </x:c>
    </x:row>
    <x:row r="106" ht="22" customHeight="1">
      <x:c r="A106" s="1" t="str">
        <x:v>EXC-TJ-A2-C08</x:v>
      </x:c>
      <x:c r="B106" s="1" t="str">
        <x:v>CYR_OVERHAND</x:v>
      </x:c>
      <x:c r="C106" s="1" t="str">
        <x:v>TJ-A2</x:v>
      </x:c>
      <x:c r="D106" s="1" t="str">
        <x:v>8</x:v>
      </x:c>
      <x:c r="E106" s="27" t="n">
        <x:v>30</x:v>
      </x:c>
      <x:c r="F106" s="27" t="n">
        <x:v>3.5</x:v>
      </x:c>
      <x:c r="G106" s="27" t="n">
        <x:v>3.8333333333333335</x:v>
      </x:c>
      <x:c r="H106" s="27" t="n">
        <x:v>13.041113452612203</x:v>
      </x:c>
      <x:c r="I106" s="27" t="n">
        <x:f>IF(OR(E106="",E106&lt;=0),"n.a.",J106/E106)</x:f>
        <x:v>13.032298920780885</x:v>
      </x:c>
      <x:c r="J106" s="27" t="n">
        <x:v>390.9689676234266</x:v>
      </x:c>
      <x:c r="K106" s="27" t="n">
        <x:v>148.86903379235082</x:v>
      </x:c>
      <x:c r="L106" s="27"/>
      <x:c r="M106" s="27" t="n">
        <x:v>2193.3333333333335</x:v>
      </x:c>
      <x:c r="N106" s="27" t="n">
        <x:v>2197.166666666667</x:v>
      </x:c>
      <x:c r="O106" s="27" t="n">
        <x:v>0</x:v>
      </x:c>
      <x:c r="P106" s="27"/>
      <x:c r="Q106" s="1" t="str">
        <x:v>EXCAVATION</x:v>
      </x:c>
      <x:c r="R106" s="1" t="str">
        <x:v>CYR_STAGE_EXCAVATION</x:v>
      </x:c>
    </x:row>
    <x:row r="107" ht="22" customHeight="1">
      <x:c r="A107" s="1" t="str">
        <x:v>RLL-TJ-A2-C08</x:v>
      </x:c>
      <x:c r="B107" s="1" t="str">
        <x:v>CYR_OVERHAND</x:v>
      </x:c>
      <x:c r="C107" s="1" t="str">
        <x:v>TJ-A2</x:v>
      </x:c>
      <x:c r="D107" s="1" t="str">
        <x:v>8</x:v>
      </x:c>
      <x:c r="E107" s="27" t="n">
        <x:v>30</x:v>
      </x:c>
      <x:c r="F107" s="27" t="n">
        <x:v>3.5</x:v>
      </x:c>
      <x:c r="G107" s="27" t="n">
        <x:v>2.8333333333333335</x:v>
      </x:c>
      <x:c r="H107" s="27"/>
      <x:c r="I107" s="27" t="n">
        <x:f>IF(OR(E107="",E107&lt;=0),"n.a.",J107/E107)</x:f>
        <x:v>9.916666666667961</x:v>
      </x:c>
      <x:c r="J107" s="27" t="n">
        <x:v>297.5000000000388</x:v>
      </x:c>
      <x:c r="K107" s="27"/>
      <x:c r="L107" s="27" t="n">
        <x:v>297.5000000000388</x:v>
      </x:c>
      <x:c r="M107" s="27" t="n">
        <x:v>2193.3333333333335</x:v>
      </x:c>
      <x:c r="N107" s="27" t="n">
        <x:v>2196.166666666667</x:v>
      </x:c>
      <x:c r="O107" s="27"/>
      <x:c r="P107" s="27"/>
      <x:c r="Q107" s="1" t="str">
        <x:v>FILL_CUT</x:v>
      </x:c>
      <x:c r="R107" s="1" t="str">
        <x:v>BACKFILL_STAGE</x:v>
      </x:c>
    </x:row>
    <x:row r="108" ht="22" customHeight="1">
      <x:c r="A108" s="1" t="str">
        <x:v>TJ-A2-C09</x:v>
      </x:c>
      <x:c r="B108" s="1" t="str">
        <x:v>CYR_OVERHAND</x:v>
      </x:c>
      <x:c r="C108" s="1" t="str">
        <x:v>TJ-A2</x:v>
      </x:c>
      <x:c r="D108" s="1" t="str">
        <x:v>9</x:v>
      </x:c>
      <x:c r="E108" s="27" t="n">
        <x:v>30</x:v>
      </x:c>
      <x:c r="F108" s="27" t="n">
        <x:v>1.5532883307000667</x:v>
      </x:c>
      <x:c r="G108" s="27" t="n">
        <x:v>3.333333333333485</x:v>
      </x:c>
      <x:c r="H108" s="27"/>
      <x:c r="I108" s="27" t="n">
        <x:f>IF(OR(E108="",E108&lt;=0),"n.a.",J108/E108)</x:f>
        <x:v>4.959038574833297</x:v>
      </x:c>
      <x:c r="J108" s="27" t="n">
        <x:v>148.7711572449989</x:v>
      </x:c>
      <x:c r="K108" s="27"/>
      <x:c r="L108" s="27"/>
      <x:c r="M108" s="27" t="n">
        <x:v>2196.6666666666665</x:v>
      </x:c>
      <x:c r="N108" s="27" t="n">
        <x:v>2200</x:v>
      </x:c>
      <x:c r="O108" s="27"/>
      <x:c r="P108" s="27"/>
      <x:c r="Q108" s="1" t="str">
        <x:v>ORE_CUT</x:v>
      </x:c>
      <x:c r="R108" s="1" t="str">
        <x:v>ORE_STOPE</x:v>
      </x:c>
    </x:row>
    <x:row r="109" ht="22" customHeight="1">
      <x:c r="A109" s="1" t="str">
        <x:v>EXC-TJ-A2-C09</x:v>
      </x:c>
      <x:c r="B109" s="1" t="str">
        <x:v>CYR_OVERHAND</x:v>
      </x:c>
      <x:c r="C109" s="1" t="str">
        <x:v>TJ-A2</x:v>
      </x:c>
      <x:c r="D109" s="1" t="str">
        <x:v>9</x:v>
      </x:c>
      <x:c r="E109" s="27" t="n">
        <x:v>30</x:v>
      </x:c>
      <x:c r="F109" s="27" t="n">
        <x:v>3.5</x:v>
      </x:c>
      <x:c r="G109" s="27" t="n">
        <x:v>3.8333333333333335</x:v>
      </x:c>
      <x:c r="H109" s="27" t="n">
        <x:v>13.041113452612203</x:v>
      </x:c>
      <x:c r="I109" s="27" t="n">
        <x:f>IF(OR(E109="",E109&lt;=0),"n.a.",J109/E109)</x:f>
        <x:v>13.032298920779755</x:v>
      </x:c>
      <x:c r="J109" s="27" t="n">
        <x:v>390.96896762339264</x:v>
      </x:c>
      <x:c r="K109" s="27" t="n">
        <x:v>148.7711572449989</x:v>
      </x:c>
      <x:c r="L109" s="27"/>
      <x:c r="M109" s="27" t="n">
        <x:v>2196.6666666666665</x:v>
      </x:c>
      <x:c r="N109" s="27" t="n">
        <x:v>2200.5</x:v>
      </x:c>
      <x:c r="O109" s="27" t="n">
        <x:v>0</x:v>
      </x:c>
      <x:c r="P109" s="27"/>
      <x:c r="Q109" s="1" t="str">
        <x:v>EXCAVATION</x:v>
      </x:c>
      <x:c r="R109" s="1" t="str">
        <x:v>CYR_STAGE_EXCAVATION</x:v>
      </x:c>
    </x:row>
    <x:row r="110" ht="22" customHeight="1">
      <x:c r="A110" s="1" t="str">
        <x:v>RLL-TJ-A2-C09</x:v>
      </x:c>
      <x:c r="B110" s="1" t="str">
        <x:v>CYR_OVERHAND</x:v>
      </x:c>
      <x:c r="C110" s="1" t="str">
        <x:v>TJ-A2</x:v>
      </x:c>
      <x:c r="D110" s="1" t="str">
        <x:v>9</x:v>
      </x:c>
      <x:c r="E110" s="27" t="n">
        <x:v>30</x:v>
      </x:c>
      <x:c r="F110" s="27" t="n">
        <x:v>3.5</x:v>
      </x:c>
      <x:c r="G110" s="27" t="n">
        <x:v>2.8333333333333335</x:v>
      </x:c>
      <x:c r="H110" s="27"/>
      <x:c r="I110" s="27" t="n">
        <x:f>IF(OR(E110="",E110&lt;=0),"n.a.",J110/E110)</x:f>
        <x:v>9.916666666667961</x:v>
      </x:c>
      <x:c r="J110" s="27" t="n">
        <x:v>297.5000000000388</x:v>
      </x:c>
      <x:c r="K110" s="27"/>
      <x:c r="L110" s="27" t="n">
        <x:v>297.5000000000388</x:v>
      </x:c>
      <x:c r="M110" s="27" t="n">
        <x:v>2196.6666666666665</x:v>
      </x:c>
      <x:c r="N110" s="27" t="n">
        <x:v>2199.5</x:v>
      </x:c>
      <x:c r="O110" s="27"/>
      <x:c r="P110" s="27"/>
      <x:c r="Q110" s="1" t="str">
        <x:v>FILL_CUT</x:v>
      </x:c>
      <x:c r="R110" s="1" t="str">
        <x:v>BACKFILL_STAGE</x:v>
      </x:c>
    </x:row>
    <x:row r="111" ht="22" customHeight="1">
      <x:c r="A111" s="1" t="str">
        <x:v>TJ-A2-C10</x:v>
      </x:c>
      <x:c r="B111" s="1" t="str">
        <x:v>CYR_OVERHAND</x:v>
      </x:c>
      <x:c r="C111" s="1" t="str">
        <x:v>TJ-A2</x:v>
      </x:c>
      <x:c r="D111" s="1" t="str">
        <x:v>10</x:v>
      </x:c>
      <x:c r="E111" s="27" t="n">
        <x:v>30</x:v>
      </x:c>
      <x:c r="F111" s="27" t="n">
        <x:v>1.5524287401847836</x:v>
      </x:c>
      <x:c r="G111" s="27" t="n">
        <x:v>3.333333333333485</x:v>
      </x:c>
      <x:c r="H111" s="27"/>
      <x:c r="I111" s="27" t="n">
        <x:f>IF(OR(E111="",E111&lt;=0),"n.a.",J111/E111)</x:f>
        <x:v>4.955785786209405</x:v>
      </x:c>
      <x:c r="J111" s="27" t="n">
        <x:v>148.67357358628215</x:v>
      </x:c>
      <x:c r="K111" s="27"/>
      <x:c r="L111" s="27"/>
      <x:c r="M111" s="27" t="n">
        <x:v>2200</x:v>
      </x:c>
      <x:c r="N111" s="27" t="n">
        <x:v>2203.3333333333335</x:v>
      </x:c>
      <x:c r="O111" s="27"/>
      <x:c r="P111" s="27"/>
      <x:c r="Q111" s="1" t="str">
        <x:v>ORE_CUT</x:v>
      </x:c>
      <x:c r="R111" s="1" t="str">
        <x:v>ORE_STOPE</x:v>
      </x:c>
    </x:row>
    <x:row r="112" ht="22" customHeight="1">
      <x:c r="A112" s="1" t="str">
        <x:v>EXC-TJ-A2-C10</x:v>
      </x:c>
      <x:c r="B112" s="1" t="str">
        <x:v>CYR_OVERHAND</x:v>
      </x:c>
      <x:c r="C112" s="1" t="str">
        <x:v>TJ-A2</x:v>
      </x:c>
      <x:c r="D112" s="1" t="str">
        <x:v>10</x:v>
      </x:c>
      <x:c r="E112" s="27" t="n">
        <x:v>30</x:v>
      </x:c>
      <x:c r="F112" s="27" t="n">
        <x:v>3.5</x:v>
      </x:c>
      <x:c r="G112" s="27" t="n">
        <x:v>3.8333333333333335</x:v>
      </x:c>
      <x:c r="H112" s="27" t="n">
        <x:v>13.041113452612203</x:v>
      </x:c>
      <x:c r="I112" s="27" t="n">
        <x:f>IF(OR(E112="",E112&lt;=0),"n.a.",J112/E112)</x:f>
        <x:v>13.03229892078024</x:v>
      </x:c>
      <x:c r="J112" s="27" t="n">
        <x:v>390.9689676234072</x:v>
      </x:c>
      <x:c r="K112" s="27" t="n">
        <x:v>148.67357358628215</x:v>
      </x:c>
      <x:c r="L112" s="27"/>
      <x:c r="M112" s="27" t="n">
        <x:v>2200</x:v>
      </x:c>
      <x:c r="N112" s="27" t="n">
        <x:v>2203.8333333333335</x:v>
      </x:c>
      <x:c r="O112" s="27" t="n">
        <x:v>0</x:v>
      </x:c>
      <x:c r="P112" s="27"/>
      <x:c r="Q112" s="1" t="str">
        <x:v>EXCAVATION</x:v>
      </x:c>
      <x:c r="R112" s="1" t="str">
        <x:v>CYR_STAGE_EXCAVATION</x:v>
      </x:c>
    </x:row>
    <x:row r="113" ht="22" customHeight="1">
      <x:c r="A113" s="1" t="str">
        <x:v>RLL-TJ-A2-C10</x:v>
      </x:c>
      <x:c r="B113" s="1" t="str">
        <x:v>CYR_OVERHAND</x:v>
      </x:c>
      <x:c r="C113" s="1" t="str">
        <x:v>TJ-A2</x:v>
      </x:c>
      <x:c r="D113" s="1" t="str">
        <x:v>10</x:v>
      </x:c>
      <x:c r="E113" s="27" t="n">
        <x:v>30</x:v>
      </x:c>
      <x:c r="F113" s="27" t="n">
        <x:v>3.5</x:v>
      </x:c>
      <x:c r="G113" s="27" t="n">
        <x:v>2.8333333333333335</x:v>
      </x:c>
      <x:c r="H113" s="27"/>
      <x:c r="I113" s="27" t="n">
        <x:f>IF(OR(E113="",E113&lt;=0),"n.a.",J113/E113)</x:f>
        <x:v>9.91666666666408</x:v>
      </x:c>
      <x:c r="J113" s="27" t="n">
        <x:v>297.4999999999224</x:v>
      </x:c>
      <x:c r="K113" s="27"/>
      <x:c r="L113" s="27" t="n">
        <x:v>297.4999999999224</x:v>
      </x:c>
      <x:c r="M113" s="27" t="n">
        <x:v>2200</x:v>
      </x:c>
      <x:c r="N113" s="27" t="n">
        <x:v>2202.8333333333335</x:v>
      </x:c>
      <x:c r="O113" s="27"/>
      <x:c r="P113" s="27"/>
      <x:c r="Q113" s="1" t="str">
        <x:v>FILL_CUT</x:v>
      </x:c>
      <x:c r="R113" s="1" t="str">
        <x:v>BACKFILL_STAGE</x:v>
      </x:c>
    </x:row>
    <x:row r="114" ht="22" customHeight="1">
      <x:c r="A114" s="1" t="str">
        <x:v>TJ-A2-C11</x:v>
      </x:c>
      <x:c r="B114" s="1" t="str">
        <x:v>CYR_OVERHAND</x:v>
      </x:c>
      <x:c r="C114" s="1" t="str">
        <x:v>TJ-A2</x:v>
      </x:c>
      <x:c r="D114" s="1" t="str">
        <x:v>11</x:v>
      </x:c>
      <x:c r="E114" s="27" t="n">
        <x:v>30</x:v>
      </x:c>
      <x:c r="F114" s="27" t="n">
        <x:v>1.551569149669497</x:v>
      </x:c>
      <x:c r="G114" s="27" t="n">
        <x:v>3.333333333333485</x:v>
      </x:c>
      <x:c r="H114" s="27"/>
      <x:c r="I114" s="27" t="n">
        <x:f>IF(OR(E114="",E114&lt;=0),"n.a.",J114/E114)</x:f>
        <x:v>4.952540886298043</x:v>
      </x:c>
      <x:c r="J114" s="27" t="n">
        <x:v>148.5762265889413</x:v>
      </x:c>
      <x:c r="K114" s="27"/>
      <x:c r="L114" s="27"/>
      <x:c r="M114" s="27" t="n">
        <x:v>2203.3333333333335</x:v>
      </x:c>
      <x:c r="N114" s="27" t="n">
        <x:v>2206.666666666667</x:v>
      </x:c>
      <x:c r="O114" s="27"/>
      <x:c r="P114" s="27"/>
      <x:c r="Q114" s="1" t="str">
        <x:v>ORE_CUT</x:v>
      </x:c>
      <x:c r="R114" s="1" t="str">
        <x:v>ORE_STOPE</x:v>
      </x:c>
    </x:row>
    <x:row r="115" ht="22" customHeight="1">
      <x:c r="A115" s="1" t="str">
        <x:v>EXC-TJ-A2-C11</x:v>
      </x:c>
      <x:c r="B115" s="1" t="str">
        <x:v>CYR_OVERHAND</x:v>
      </x:c>
      <x:c r="C115" s="1" t="str">
        <x:v>TJ-A2</x:v>
      </x:c>
      <x:c r="D115" s="1" t="str">
        <x:v>11</x:v>
      </x:c>
      <x:c r="E115" s="27" t="n">
        <x:v>30</x:v>
      </x:c>
      <x:c r="F115" s="27" t="n">
        <x:v>3.5</x:v>
      </x:c>
      <x:c r="G115" s="27" t="n">
        <x:v>3.8333333333333335</x:v>
      </x:c>
      <x:c r="H115" s="27" t="n">
        <x:v>13.041113452612203</x:v>
      </x:c>
      <x:c r="I115" s="27" t="n">
        <x:f>IF(OR(E115="",E115&lt;=0),"n.a.",J115/E115)</x:f>
        <x:v>13.03229892077927</x:v>
      </x:c>
      <x:c r="J115" s="27" t="n">
        <x:v>390.9689676233781</x:v>
      </x:c>
      <x:c r="K115" s="27" t="n">
        <x:v>148.5762265889413</x:v>
      </x:c>
      <x:c r="L115" s="27"/>
      <x:c r="M115" s="27" t="n">
        <x:v>2203.3333333333335</x:v>
      </x:c>
      <x:c r="N115" s="27" t="n">
        <x:v>2207.166666666667</x:v>
      </x:c>
      <x:c r="O115" s="27" t="n">
        <x:v>0</x:v>
      </x:c>
      <x:c r="P115" s="27"/>
      <x:c r="Q115" s="1" t="str">
        <x:v>EXCAVATION</x:v>
      </x:c>
      <x:c r="R115" s="1" t="str">
        <x:v>CYR_STAGE_EXCAVATION</x:v>
      </x:c>
    </x:row>
    <x:row r="116" ht="22" customHeight="1">
      <x:c r="A116" s="1" t="str">
        <x:v>RLL-TJ-A2-C11</x:v>
      </x:c>
      <x:c r="B116" s="1" t="str">
        <x:v>CYR_OVERHAND</x:v>
      </x:c>
      <x:c r="C116" s="1" t="str">
        <x:v>TJ-A2</x:v>
      </x:c>
      <x:c r="D116" s="1" t="str">
        <x:v>11</x:v>
      </x:c>
      <x:c r="E116" s="27" t="n">
        <x:v>30</x:v>
      </x:c>
      <x:c r="F116" s="27" t="n">
        <x:v>3.5</x:v>
      </x:c>
      <x:c r="G116" s="27" t="n">
        <x:v>2.8333333333333335</x:v>
      </x:c>
      <x:c r="H116" s="27"/>
      <x:c r="I116" s="27" t="n">
        <x:f>IF(OR(E116="",E116&lt;=0),"n.a.",J116/E116)</x:f>
        <x:v>9.916666666667961</x:v>
      </x:c>
      <x:c r="J116" s="27" t="n">
        <x:v>297.5000000000388</x:v>
      </x:c>
      <x:c r="K116" s="27"/>
      <x:c r="L116" s="27" t="n">
        <x:v>297.5000000000388</x:v>
      </x:c>
      <x:c r="M116" s="27" t="n">
        <x:v>2203.3333333333335</x:v>
      </x:c>
      <x:c r="N116" s="27" t="n">
        <x:v>2206.166666666667</x:v>
      </x:c>
      <x:c r="O116" s="27"/>
      <x:c r="P116" s="27"/>
      <x:c r="Q116" s="1" t="str">
        <x:v>FILL_CUT</x:v>
      </x:c>
      <x:c r="R116" s="1" t="str">
        <x:v>BACKFILL_STAGE</x:v>
      </x:c>
    </x:row>
    <x:row r="117" ht="22" customHeight="1">
      <x:c r="A117" s="1" t="str">
        <x:v>TJ-A2-C12</x:v>
      </x:c>
      <x:c r="B117" s="1" t="str">
        <x:v>CYR_OVERHAND</x:v>
      </x:c>
      <x:c r="C117" s="1" t="str">
        <x:v>TJ-A2</x:v>
      </x:c>
      <x:c r="D117" s="1" t="str">
        <x:v>12</x:v>
      </x:c>
      <x:c r="E117" s="27" t="n">
        <x:v>30</x:v>
      </x:c>
      <x:c r="F117" s="27" t="n">
        <x:v>1.550709559154214</x:v>
      </x:c>
      <x:c r="G117" s="27" t="n">
        <x:v>3.333333333333485</x:v>
      </x:c>
      <x:c r="H117" s="27"/>
      <x:c r="I117" s="27" t="n">
        <x:f>IF(OR(E117="",E117&lt;=0),"n.a.",J117/E117)</x:f>
        <x:v>4.949300804031575</x:v>
      </x:c>
      <x:c r="J117" s="27" t="n">
        <x:v>148.47902412094723</x:v>
      </x:c>
      <x:c r="K117" s="27"/>
      <x:c r="L117" s="27"/>
      <x:c r="M117" s="27" t="n">
        <x:v>2206.6666666666665</x:v>
      </x:c>
      <x:c r="N117" s="27" t="n">
        <x:v>2210</x:v>
      </x:c>
      <x:c r="O117" s="27"/>
      <x:c r="P117" s="27"/>
      <x:c r="Q117" s="1" t="str">
        <x:v>ORE_CUT</x:v>
      </x:c>
      <x:c r="R117" s="1" t="str">
        <x:v>ORE_STOPE</x:v>
      </x:c>
    </x:row>
    <x:row r="118" ht="22" customHeight="1">
      <x:c r="A118" s="1" t="str">
        <x:v>EXC-TJ-A2-C12</x:v>
      </x:c>
      <x:c r="B118" s="1" t="str">
        <x:v>CYR_OVERHAND</x:v>
      </x:c>
      <x:c r="C118" s="1" t="str">
        <x:v>TJ-A2</x:v>
      </x:c>
      <x:c r="D118" s="1" t="str">
        <x:v>12</x:v>
      </x:c>
      <x:c r="E118" s="27" t="n">
        <x:v>30</x:v>
      </x:c>
      <x:c r="F118" s="27" t="n">
        <x:v>3.5</x:v>
      </x:c>
      <x:c r="G118" s="27" t="n">
        <x:v>3.8333333333333335</x:v>
      </x:c>
      <x:c r="H118" s="27" t="n">
        <x:v>13.041113452612203</x:v>
      </x:c>
      <x:c r="I118" s="27" t="n">
        <x:f>IF(OR(E118="",E118&lt;=0),"n.a.",J118/E118)</x:f>
        <x:v>13.032298920777814</x:v>
      </x:c>
      <x:c r="J118" s="27" t="n">
        <x:v>390.96896762333444</x:v>
      </x:c>
      <x:c r="K118" s="27" t="n">
        <x:v>148.47902412094723</x:v>
      </x:c>
      <x:c r="L118" s="27"/>
      <x:c r="M118" s="27" t="n">
        <x:v>2206.6666666666665</x:v>
      </x:c>
      <x:c r="N118" s="27" t="n">
        <x:v>2210.5</x:v>
      </x:c>
      <x:c r="O118" s="27" t="n">
        <x:v>0</x:v>
      </x:c>
      <x:c r="P118" s="27"/>
      <x:c r="Q118" s="1" t="str">
        <x:v>EXCAVATION</x:v>
      </x:c>
      <x:c r="R118" s="1" t="str">
        <x:v>CYR_STAGE_EXCAVATION</x:v>
      </x:c>
    </x:row>
    <x:row r="119" ht="22" customHeight="1">
      <x:c r="A119" s="1" t="str">
        <x:v>RLL-TJ-A2-C12</x:v>
      </x:c>
      <x:c r="B119" s="1" t="str">
        <x:v>CYR_OVERHAND</x:v>
      </x:c>
      <x:c r="C119" s="1" t="str">
        <x:v>TJ-A2</x:v>
      </x:c>
      <x:c r="D119" s="1" t="str">
        <x:v>12</x:v>
      </x:c>
      <x:c r="E119" s="27" t="n">
        <x:v>30</x:v>
      </x:c>
      <x:c r="F119" s="27" t="n">
        <x:v>3.5</x:v>
      </x:c>
      <x:c r="G119" s="27" t="n">
        <x:v>2.8333333333333335</x:v>
      </x:c>
      <x:c r="H119" s="27"/>
      <x:c r="I119" s="27" t="n">
        <x:f>IF(OR(E119="",E119&lt;=0),"n.a.",J119/E119)</x:f>
        <x:v>9.916666666665373</x:v>
      </x:c>
      <x:c r="J119" s="27" t="n">
        <x:v>297.4999999999612</x:v>
      </x:c>
      <x:c r="K119" s="27"/>
      <x:c r="L119" s="27" t="n">
        <x:v>297.4999999999612</x:v>
      </x:c>
      <x:c r="M119" s="27" t="n">
        <x:v>2206.6666666666665</x:v>
      </x:c>
      <x:c r="N119" s="27" t="n">
        <x:v>2209.5</x:v>
      </x:c>
      <x:c r="O119" s="27"/>
      <x:c r="P119" s="27"/>
      <x:c r="Q119" s="1" t="str">
        <x:v>FILL_CUT</x:v>
      </x:c>
      <x:c r="R119" s="1" t="str">
        <x:v>BACKFILL_STAGE</x:v>
      </x:c>
    </x:row>
    <x:row r="120" ht="22" customHeight="1">
      <x:c r="A120" s="1" t="str">
        <x:v>CX-TJ-A2-RL2170</x:v>
      </x:c>
      <x:c r="B120" s="1" t="str">
        <x:v>CYR_OVERHAND</x:v>
      </x:c>
      <x:c r="C120" s="1" t="str">
        <x:v>TJ-A2</x:v>
      </x:c>
      <x:c r="D120" s="1" t="str"/>
      <x:c r="E120" s="27" t="n">
        <x:v>33.47975980743551</x:v>
      </x:c>
      <x:c r="F120" s="27" t="n">
        <x:v>3.5</x:v>
      </x:c>
      <x:c r="G120" s="27" t="n">
        <x:v>3.5</x:v>
      </x:c>
      <x:c r="H120" s="27" t="n">
        <x:v>11.874446785945535</x:v>
      </x:c>
      <x:c r="I120" s="27" t="n">
        <x:f>IF(OR(E120="",E120&lt;=0),"n.a.",J120/E120)</x:f>
        <x:v>11.862357095151426</x:v>
      </x:c>
      <x:c r="J120" s="27" t="n">
        <x:v>397.1488662956981</x:v>
      </x:c>
      <x:c r="K120" s="27"/>
      <x:c r="L120" s="27"/>
      <x:c r="M120" s="27" t="n">
        <x:v>2170</x:v>
      </x:c>
      <x:c r="N120" s="27" t="n">
        <x:v>2173.5</x:v>
      </x:c>
      <x:c r="O120" s="27" t="n">
        <x:v>0</x:v>
      </x:c>
      <x:c r="P120" s="27" t="n">
        <x:v>19.99999999997188</x:v>
      </x:c>
      <x:c r="Q120" s="1" t="str">
        <x:v>EXCAVATION</x:v>
      </x:c>
      <x:c r="R120" s="1" t="str">
        <x:v>CROSSCUT</x:v>
      </x:c>
    </x:row>
    <x:row r="121" ht="22" customHeight="1">
      <x:c r="A121" s="1" t="str">
        <x:v>CX-TJ-A2-RL2190</x:v>
      </x:c>
      <x:c r="B121" s="1" t="str">
        <x:v>CYR_OVERHAND</x:v>
      </x:c>
      <x:c r="C121" s="1" t="str">
        <x:v>TJ-A2</x:v>
      </x:c>
      <x:c r="D121" s="1" t="str"/>
      <x:c r="E121" s="27" t="n">
        <x:v>33.4797598074355</x:v>
      </x:c>
      <x:c r="F121" s="27" t="n">
        <x:v>3.5</x:v>
      </x:c>
      <x:c r="G121" s="27" t="n">
        <x:v>3.5</x:v>
      </x:c>
      <x:c r="H121" s="27" t="n">
        <x:v>11.874446785945535</x:v>
      </x:c>
      <x:c r="I121" s="27" t="n">
        <x:f>IF(OR(E121="",E121&lt;=0),"n.a.",J121/E121)</x:f>
        <x:v>11.862357095151138</x:v>
      </x:c>
      <x:c r="J121" s="27" t="n">
        <x:v>397.1488662956884</x:v>
      </x:c>
      <x:c r="K121" s="27"/>
      <x:c r="L121" s="27"/>
      <x:c r="M121" s="27" t="n">
        <x:v>2190</x:v>
      </x:c>
      <x:c r="N121" s="27" t="n">
        <x:v>2193.5</x:v>
      </x:c>
      <x:c r="O121" s="27" t="n">
        <x:v>0</x:v>
      </x:c>
      <x:c r="P121" s="27" t="n">
        <x:v>19.99999999997188</x:v>
      </x:c>
      <x:c r="Q121" s="1" t="str">
        <x:v>EXCAVATION</x:v>
      </x:c>
      <x:c r="R121" s="1" t="str">
        <x:v>CROSSCUT</x:v>
      </x:c>
    </x:row>
    <x:row r="122" ht="22" customHeight="1">
      <x:c r="A122" s="1" t="str">
        <x:v>CX-TJ-A2-RL2210</x:v>
      </x:c>
      <x:c r="B122" s="1" t="str">
        <x:v>CYR_OVERHAND</x:v>
      </x:c>
      <x:c r="C122" s="1" t="str">
        <x:v>TJ-A2</x:v>
      </x:c>
      <x:c r="D122" s="1" t="str"/>
      <x:c r="E122" s="27" t="n">
        <x:v>33.47975980743549</x:v>
      </x:c>
      <x:c r="F122" s="27" t="n">
        <x:v>3.5</x:v>
      </x:c>
      <x:c r="G122" s="27" t="n">
        <x:v>3.5</x:v>
      </x:c>
      <x:c r="H122" s="27" t="n">
        <x:v>11.874446785945535</x:v>
      </x:c>
      <x:c r="I122" s="27" t="n">
        <x:f>IF(OR(E122="",E122&lt;=0),"n.a.",J122/E122)</x:f>
        <x:v>11.862357095151431</x:v>
      </x:c>
      <x:c r="J122" s="27" t="n">
        <x:v>397.1488662956981</x:v>
      </x:c>
      <x:c r="K122" s="27"/>
      <x:c r="L122" s="27"/>
      <x:c r="M122" s="27" t="n">
        <x:v>2210</x:v>
      </x:c>
      <x:c r="N122" s="27" t="n">
        <x:v>2213.5</x:v>
      </x:c>
      <x:c r="O122" s="27" t="n">
        <x:v>0</x:v>
      </x:c>
      <x:c r="P122" s="27" t="n">
        <x:v>19.99999999997188</x:v>
      </x:c>
      <x:c r="Q122" s="1" t="str">
        <x:v>EXCAVATION</x:v>
      </x:c>
      <x:c r="R122" s="1" t="str">
        <x:v>CROSSCUT</x:v>
      </x:c>
    </x:row>
    <x:row r="123" ht="22" customHeight="1">
      <x:c r="A123" s="1" t="str">
        <x:v>TJ-A3</x:v>
      </x:c>
      <x:c r="B123" s="1" t="str">
        <x:v>CYR_OVERHAND</x:v>
      </x:c>
      <x:c r="C123" s="1" t="str">
        <x:v>TJ-A3</x:v>
      </x:c>
      <x:c r="D123" s="1" t="str"/>
      <x:c r="E123" s="27" t="n">
        <x:v>30</x:v>
      </x:c>
      <x:c r="F123" s="27" t="n">
        <x:v>1.7448440368725766</x:v>
      </x:c>
      <x:c r="G123" s="27" t="n">
        <x:v>40</x:v>
      </x:c>
      <x:c r="H123" s="27"/>
      <x:c r="I123" s="27" t="n">
        <x:f>IF(OR(E123="",E123&lt;=0),"n.a.",J123/E123)</x:f>
        <x:v>66.80467248071088</x:v>
      </x:c>
      <x:c r="J123" s="27" t="n">
        <x:v>2004.1401744213265</x:v>
      </x:c>
      <x:c r="K123" s="27"/>
      <x:c r="L123" s="27"/>
      <x:c r="M123" s="27" t="n">
        <x:v>2170</x:v>
      </x:c>
      <x:c r="N123" s="27" t="n">
        <x:v>2210</x:v>
      </x:c>
      <x:c r="O123" s="27"/>
      <x:c r="P123" s="27"/>
      <x:c r="Q123" s="1" t="str">
        <x:v>ORE_STOPE_TOTAL</x:v>
      </x:c>
      <x:c r="R123" s="1" t="str">
        <x:v>ORE_STOPE</x:v>
      </x:c>
    </x:row>
    <x:row r="124" ht="22" customHeight="1">
      <x:c r="A124" s="1" t="str">
        <x:v>TJ-A3-C01</x:v>
      </x:c>
      <x:c r="B124" s="1" t="str">
        <x:v>CYR_OVERHAND</x:v>
      </x:c>
      <x:c r="C124" s="1" t="str">
        <x:v>TJ-A3</x:v>
      </x:c>
      <x:c r="D124" s="1" t="str">
        <x:v>1</x:v>
      </x:c>
      <x:c r="E124" s="27" t="n">
        <x:v>30</x:v>
      </x:c>
      <x:c r="F124" s="27" t="n">
        <x:v>1.7448440368725766</x:v>
      </x:c>
      <x:c r="G124" s="27" t="n">
        <x:v>3.333333333333485</x:v>
      </x:c>
      <x:c r="H124" s="27"/>
      <x:c r="I124" s="27" t="n">
        <x:f>IF(OR(E124="",E124&lt;=0),"n.a.",J124/E124)</x:f>
        <x:v>5.579605778341748</x:v>
      </x:c>
      <x:c r="J124" s="27" t="n">
        <x:v>167.38817335025246</x:v>
      </x:c>
      <x:c r="K124" s="27"/>
      <x:c r="L124" s="27"/>
      <x:c r="M124" s="27" t="n">
        <x:v>2170</x:v>
      </x:c>
      <x:c r="N124" s="27" t="n">
        <x:v>2173.3333333333335</x:v>
      </x:c>
      <x:c r="O124" s="27"/>
      <x:c r="P124" s="27"/>
      <x:c r="Q124" s="1" t="str">
        <x:v>ORE_CUT</x:v>
      </x:c>
      <x:c r="R124" s="1" t="str">
        <x:v>ORE_STOPE</x:v>
      </x:c>
    </x:row>
    <x:row r="125" ht="22" customHeight="1">
      <x:c r="A125" s="1" t="str">
        <x:v>EXC-TJ-A3-C01</x:v>
      </x:c>
      <x:c r="B125" s="1" t="str">
        <x:v>CYR_OVERHAND</x:v>
      </x:c>
      <x:c r="C125" s="1" t="str">
        <x:v>TJ-A3</x:v>
      </x:c>
      <x:c r="D125" s="1" t="str">
        <x:v>1</x:v>
      </x:c>
      <x:c r="E125" s="27" t="n">
        <x:v>30</x:v>
      </x:c>
      <x:c r="F125" s="27" t="n">
        <x:v>3.5</x:v>
      </x:c>
      <x:c r="G125" s="27" t="n">
        <x:v>3.8333333333333335</x:v>
      </x:c>
      <x:c r="H125" s="27" t="n">
        <x:v>13.041113452612203</x:v>
      </x:c>
      <x:c r="I125" s="27" t="n">
        <x:f>IF(OR(E125="",E125&lt;=0),"n.a.",J125/E125)</x:f>
        <x:v>13.0322989207804</x:v>
      </x:c>
      <x:c r="J125" s="27" t="n">
        <x:v>390.968967623412</x:v>
      </x:c>
      <x:c r="K125" s="27" t="n">
        <x:v>167.38817335025246</x:v>
      </x:c>
      <x:c r="L125" s="27"/>
      <x:c r="M125" s="27" t="n">
        <x:v>2170</x:v>
      </x:c>
      <x:c r="N125" s="27" t="n">
        <x:v>2173.8333333333335</x:v>
      </x:c>
      <x:c r="O125" s="27" t="n">
        <x:v>0</x:v>
      </x:c>
      <x:c r="P125" s="27"/>
      <x:c r="Q125" s="1" t="str">
        <x:v>EXCAVATION</x:v>
      </x:c>
      <x:c r="R125" s="1" t="str">
        <x:v>CYR_STAGE_EXCAVATION</x:v>
      </x:c>
    </x:row>
    <x:row r="126" ht="22" customHeight="1">
      <x:c r="A126" s="1" t="str">
        <x:v>RLL-TJ-A3-C01</x:v>
      </x:c>
      <x:c r="B126" s="1" t="str">
        <x:v>CYR_OVERHAND</x:v>
      </x:c>
      <x:c r="C126" s="1" t="str">
        <x:v>TJ-A3</x:v>
      </x:c>
      <x:c r="D126" s="1" t="str">
        <x:v>1</x:v>
      </x:c>
      <x:c r="E126" s="27" t="n">
        <x:v>30</x:v>
      </x:c>
      <x:c r="F126" s="27" t="n">
        <x:v>3.5</x:v>
      </x:c>
      <x:c r="G126" s="27" t="n">
        <x:v>2.8333333333333335</x:v>
      </x:c>
      <x:c r="H126" s="27"/>
      <x:c r="I126" s="27" t="n">
        <x:f>IF(OR(E126="",E126&lt;=0),"n.a.",J126/E126)</x:f>
        <x:v>9.916666666666666</x:v>
      </x:c>
      <x:c r="J126" s="27" t="n">
        <x:v>297.5</x:v>
      </x:c>
      <x:c r="K126" s="27"/>
      <x:c r="L126" s="27" t="n">
        <x:v>297.5</x:v>
      </x:c>
      <x:c r="M126" s="27" t="n">
        <x:v>2170</x:v>
      </x:c>
      <x:c r="N126" s="27" t="n">
        <x:v>2172.8333333333335</x:v>
      </x:c>
      <x:c r="O126" s="27"/>
      <x:c r="P126" s="27"/>
      <x:c r="Q126" s="1" t="str">
        <x:v>FILL_CUT</x:v>
      </x:c>
      <x:c r="R126" s="1" t="str">
        <x:v>BACKFILL_STAGE</x:v>
      </x:c>
    </x:row>
    <x:row r="127" ht="22" customHeight="1">
      <x:c r="A127" s="1" t="str">
        <x:v>TJ-A3-C02</x:v>
      </x:c>
      <x:c r="B127" s="1" t="str">
        <x:v>CYR_OVERHAND</x:v>
      </x:c>
      <x:c r="C127" s="1" t="str">
        <x:v>TJ-A3</x:v>
      </x:c>
      <x:c r="D127" s="1" t="str">
        <x:v>2</x:v>
      </x:c>
      <x:c r="E127" s="27" t="n">
        <x:v>30</x:v>
      </x:c>
      <x:c r="F127" s="27" t="n">
        <x:v>1.7442751026749317</x:v>
      </x:c>
      <x:c r="G127" s="27" t="n">
        <x:v>3.333333333333485</x:v>
      </x:c>
      <x:c r="H127" s="27"/>
      <x:c r="I127" s="27" t="n">
        <x:f>IF(OR(E127="",E127&lt;=0),"n.a.",J127/E127)</x:f>
        <x:v>5.577314785218136</x:v>
      </x:c>
      <x:c r="J127" s="27" t="n">
        <x:v>167.3194435565441</x:v>
      </x:c>
      <x:c r="K127" s="27"/>
      <x:c r="L127" s="27"/>
      <x:c r="M127" s="27" t="n">
        <x:v>2173.3333333333335</x:v>
      </x:c>
      <x:c r="N127" s="27" t="n">
        <x:v>2176.666666666667</x:v>
      </x:c>
      <x:c r="O127" s="27"/>
      <x:c r="P127" s="27"/>
      <x:c r="Q127" s="1" t="str">
        <x:v>ORE_CUT</x:v>
      </x:c>
      <x:c r="R127" s="1" t="str">
        <x:v>ORE_STOPE</x:v>
      </x:c>
    </x:row>
    <x:row r="128" ht="22" customHeight="1">
      <x:c r="A128" s="1" t="str">
        <x:v>EXC-TJ-A3-C02</x:v>
      </x:c>
      <x:c r="B128" s="1" t="str">
        <x:v>CYR_OVERHAND</x:v>
      </x:c>
      <x:c r="C128" s="1" t="str">
        <x:v>TJ-A3</x:v>
      </x:c>
      <x:c r="D128" s="1" t="str">
        <x:v>2</x:v>
      </x:c>
      <x:c r="E128" s="27" t="n">
        <x:v>30</x:v>
      </x:c>
      <x:c r="F128" s="27" t="n">
        <x:v>3.5</x:v>
      </x:c>
      <x:c r="G128" s="27" t="n">
        <x:v>3.8333333333333335</x:v>
      </x:c>
      <x:c r="H128" s="27" t="n">
        <x:v>13.041113452612203</x:v>
      </x:c>
      <x:c r="I128" s="27" t="n">
        <x:f>IF(OR(E128="",E128&lt;=0),"n.a.",J128/E128)</x:f>
        <x:v>13.032298920777976</x:v>
      </x:c>
      <x:c r="J128" s="27" t="n">
        <x:v>390.96896762333927</x:v>
      </x:c>
      <x:c r="K128" s="27" t="n">
        <x:v>167.3194435565441</x:v>
      </x:c>
      <x:c r="L128" s="27"/>
      <x:c r="M128" s="27" t="n">
        <x:v>2173.3333333333335</x:v>
      </x:c>
      <x:c r="N128" s="27" t="n">
        <x:v>2177.166666666667</x:v>
      </x:c>
      <x:c r="O128" s="27" t="n">
        <x:v>0</x:v>
      </x:c>
      <x:c r="P128" s="27"/>
      <x:c r="Q128" s="1" t="str">
        <x:v>EXCAVATION</x:v>
      </x:c>
      <x:c r="R128" s="1" t="str">
        <x:v>CYR_STAGE_EXCAVATION</x:v>
      </x:c>
    </x:row>
    <x:row r="129" ht="22" customHeight="1">
      <x:c r="A129" s="1" t="str">
        <x:v>RLL-TJ-A3-C02</x:v>
      </x:c>
      <x:c r="B129" s="1" t="str">
        <x:v>CYR_OVERHAND</x:v>
      </x:c>
      <x:c r="C129" s="1" t="str">
        <x:v>TJ-A3</x:v>
      </x:c>
      <x:c r="D129" s="1" t="str">
        <x:v>2</x:v>
      </x:c>
      <x:c r="E129" s="27" t="n">
        <x:v>30</x:v>
      </x:c>
      <x:c r="F129" s="27" t="n">
        <x:v>3.5</x:v>
      </x:c>
      <x:c r="G129" s="27" t="n">
        <x:v>2.8333333333333335</x:v>
      </x:c>
      <x:c r="H129" s="27"/>
      <x:c r="I129" s="27" t="n">
        <x:f>IF(OR(E129="",E129&lt;=0),"n.a.",J129/E129)</x:f>
        <x:v>9.916666666665373</x:v>
      </x:c>
      <x:c r="J129" s="27" t="n">
        <x:v>297.4999999999612</x:v>
      </x:c>
      <x:c r="K129" s="27"/>
      <x:c r="L129" s="27" t="n">
        <x:v>297.4999999999612</x:v>
      </x:c>
      <x:c r="M129" s="27" t="n">
        <x:v>2173.3333333333335</x:v>
      </x:c>
      <x:c r="N129" s="27" t="n">
        <x:v>2176.166666666667</x:v>
      </x:c>
      <x:c r="O129" s="27"/>
      <x:c r="P129" s="27"/>
      <x:c r="Q129" s="1" t="str">
        <x:v>FILL_CUT</x:v>
      </x:c>
      <x:c r="R129" s="1" t="str">
        <x:v>BACKFILL_STAGE</x:v>
      </x:c>
    </x:row>
    <x:row r="130" ht="22" customHeight="1">
      <x:c r="A130" s="1" t="str">
        <x:v>TJ-A3-C03</x:v>
      </x:c>
      <x:c r="B130" s="1" t="str">
        <x:v>CYR_OVERHAND</x:v>
      </x:c>
      <x:c r="C130" s="1" t="str">
        <x:v>TJ-A3</x:v>
      </x:c>
      <x:c r="D130" s="1" t="str">
        <x:v>3</x:v>
      </x:c>
      <x:c r="E130" s="27" t="n">
        <x:v>30</x:v>
      </x:c>
      <x:c r="F130" s="27" t="n">
        <x:v>1.7437061684772885</x:v>
      </x:c>
      <x:c r="G130" s="27" t="n">
        <x:v>3.333333333333485</x:v>
      </x:c>
      <x:c r="H130" s="27"/>
      <x:c r="I130" s="27" t="n">
        <x:f>IF(OR(E130="",E130&lt;=0),"n.a.",J130/E130)</x:f>
        <x:v>5.57502379209798</x:v>
      </x:c>
      <x:c r="J130" s="27" t="n">
        <x:v>167.2507137629394</x:v>
      </x:c>
      <x:c r="K130" s="27"/>
      <x:c r="L130" s="27"/>
      <x:c r="M130" s="27" t="n">
        <x:v>2176.6666666666665</x:v>
      </x:c>
      <x:c r="N130" s="27" t="n">
        <x:v>2180</x:v>
      </x:c>
      <x:c r="O130" s="27"/>
      <x:c r="P130" s="27"/>
      <x:c r="Q130" s="1" t="str">
        <x:v>ORE_CUT</x:v>
      </x:c>
      <x:c r="R130" s="1" t="str">
        <x:v>ORE_STOPE</x:v>
      </x:c>
    </x:row>
    <x:row r="131" ht="22" customHeight="1">
      <x:c r="A131" s="1" t="str">
        <x:v>EXC-TJ-A3-C03</x:v>
      </x:c>
      <x:c r="B131" s="1" t="str">
        <x:v>CYR_OVERHAND</x:v>
      </x:c>
      <x:c r="C131" s="1" t="str">
        <x:v>TJ-A3</x:v>
      </x:c>
      <x:c r="D131" s="1" t="str">
        <x:v>3</x:v>
      </x:c>
      <x:c r="E131" s="27" t="n">
        <x:v>30</x:v>
      </x:c>
      <x:c r="F131" s="27" t="n">
        <x:v>3.5</x:v>
      </x:c>
      <x:c r="G131" s="27" t="n">
        <x:v>3.8333333333333335</x:v>
      </x:c>
      <x:c r="H131" s="27" t="n">
        <x:v>13.041113452612203</x:v>
      </x:c>
      <x:c r="I131" s="27" t="n">
        <x:f>IF(OR(E131="",E131&lt;=0),"n.a.",J131/E131)</x:f>
        <x:v>13.03229892078024</x:v>
      </x:c>
      <x:c r="J131" s="27" t="n">
        <x:v>390.9689676234072</x:v>
      </x:c>
      <x:c r="K131" s="27" t="n">
        <x:v>167.2507137629394</x:v>
      </x:c>
      <x:c r="L131" s="27"/>
      <x:c r="M131" s="27" t="n">
        <x:v>2176.6666666666665</x:v>
      </x:c>
      <x:c r="N131" s="27" t="n">
        <x:v>2180.5</x:v>
      </x:c>
      <x:c r="O131" s="27" t="n">
        <x:v>0</x:v>
      </x:c>
      <x:c r="P131" s="27"/>
      <x:c r="Q131" s="1" t="str">
        <x:v>EXCAVATION</x:v>
      </x:c>
      <x:c r="R131" s="1" t="str">
        <x:v>CYR_STAGE_EXCAVATION</x:v>
      </x:c>
    </x:row>
    <x:row r="132" ht="22" customHeight="1">
      <x:c r="A132" s="1" t="str">
        <x:v>RLL-TJ-A3-C03</x:v>
      </x:c>
      <x:c r="B132" s="1" t="str">
        <x:v>CYR_OVERHAND</x:v>
      </x:c>
      <x:c r="C132" s="1" t="str">
        <x:v>TJ-A3</x:v>
      </x:c>
      <x:c r="D132" s="1" t="str">
        <x:v>3</x:v>
      </x:c>
      <x:c r="E132" s="27" t="n">
        <x:v>30</x:v>
      </x:c>
      <x:c r="F132" s="27" t="n">
        <x:v>3.5</x:v>
      </x:c>
      <x:c r="G132" s="27" t="n">
        <x:v>2.8333333333333335</x:v>
      </x:c>
      <x:c r="H132" s="27"/>
      <x:c r="I132" s="27" t="n">
        <x:f>IF(OR(E132="",E132&lt;=0),"n.a.",J132/E132)</x:f>
        <x:v>9.916666666666666</x:v>
      </x:c>
      <x:c r="J132" s="27" t="n">
        <x:v>297.5</x:v>
      </x:c>
      <x:c r="K132" s="27"/>
      <x:c r="L132" s="27" t="n">
        <x:v>297.5</x:v>
      </x:c>
      <x:c r="M132" s="27" t="n">
        <x:v>2176.6666666666665</x:v>
      </x:c>
      <x:c r="N132" s="27" t="n">
        <x:v>2179.5</x:v>
      </x:c>
      <x:c r="O132" s="27"/>
      <x:c r="P132" s="27"/>
      <x:c r="Q132" s="1" t="str">
        <x:v>FILL_CUT</x:v>
      </x:c>
      <x:c r="R132" s="1" t="str">
        <x:v>BACKFILL_STAGE</x:v>
      </x:c>
    </x:row>
    <x:row r="133" ht="22" customHeight="1">
      <x:c r="A133" s="1" t="str">
        <x:v>TJ-A3-C04</x:v>
      </x:c>
      <x:c r="B133" s="1" t="str">
        <x:v>CYR_OVERHAND</x:v>
      </x:c>
      <x:c r="C133" s="1" t="str">
        <x:v>TJ-A3</x:v>
      </x:c>
      <x:c r="D133" s="1" t="str">
        <x:v>4</x:v>
      </x:c>
      <x:c r="E133" s="27" t="n">
        <x:v>30</x:v>
      </x:c>
      <x:c r="F133" s="27" t="n">
        <x:v>1.7431372342796507</x:v>
      </x:c>
      <x:c r="G133" s="27" t="n">
        <x:v>3.333333333333485</x:v>
      </x:c>
      <x:c r="H133" s="27"/>
      <x:c r="I133" s="27" t="n">
        <x:f>IF(OR(E133="",E133&lt;=0),"n.a.",J133/E133)</x:f>
        <x:v>5.5727330724832225</x:v>
      </x:c>
      <x:c r="J133" s="27" t="n">
        <x:v>167.18199217449668</x:v>
      </x:c>
      <x:c r="K133" s="27"/>
      <x:c r="L133" s="27"/>
      <x:c r="M133" s="27" t="n">
        <x:v>2180</x:v>
      </x:c>
      <x:c r="N133" s="27" t="n">
        <x:v>2183.3333333333335</x:v>
      </x:c>
      <x:c r="O133" s="27"/>
      <x:c r="P133" s="27"/>
      <x:c r="Q133" s="1" t="str">
        <x:v>ORE_CUT</x:v>
      </x:c>
      <x:c r="R133" s="1" t="str">
        <x:v>ORE_STOPE</x:v>
      </x:c>
    </x:row>
    <x:row r="134" ht="22" customHeight="1">
      <x:c r="A134" s="1" t="str">
        <x:v>EXC-TJ-A3-C04</x:v>
      </x:c>
      <x:c r="B134" s="1" t="str">
        <x:v>CYR_OVERHAND</x:v>
      </x:c>
      <x:c r="C134" s="1" t="str">
        <x:v>TJ-A3</x:v>
      </x:c>
      <x:c r="D134" s="1" t="str">
        <x:v>4</x:v>
      </x:c>
      <x:c r="E134" s="27" t="n">
        <x:v>30</x:v>
      </x:c>
      <x:c r="F134" s="27" t="n">
        <x:v>3.5</x:v>
      </x:c>
      <x:c r="G134" s="27" t="n">
        <x:v>3.8333333333333335</x:v>
      </x:c>
      <x:c r="H134" s="27" t="n">
        <x:v>13.041113452612203</x:v>
      </x:c>
      <x:c r="I134" s="27" t="n">
        <x:f>IF(OR(E134="",E134&lt;=0),"n.a.",J134/E134)</x:f>
        <x:v>13.032298920781532</x:v>
      </x:c>
      <x:c r="J134" s="27" t="n">
        <x:v>390.96896762344596</x:v>
      </x:c>
      <x:c r="K134" s="27" t="n">
        <x:v>167.18199217449668</x:v>
      </x:c>
      <x:c r="L134" s="27"/>
      <x:c r="M134" s="27" t="n">
        <x:v>2180</x:v>
      </x:c>
      <x:c r="N134" s="27" t="n">
        <x:v>2183.8333333333335</x:v>
      </x:c>
      <x:c r="O134" s="27" t="n">
        <x:v>0</x:v>
      </x:c>
      <x:c r="P134" s="27"/>
      <x:c r="Q134" s="1" t="str">
        <x:v>EXCAVATION</x:v>
      </x:c>
      <x:c r="R134" s="1" t="str">
        <x:v>CYR_STAGE_EXCAVATION</x:v>
      </x:c>
    </x:row>
    <x:row r="135" ht="22" customHeight="1">
      <x:c r="A135" s="1" t="str">
        <x:v>RLL-TJ-A3-C04</x:v>
      </x:c>
      <x:c r="B135" s="1" t="str">
        <x:v>CYR_OVERHAND</x:v>
      </x:c>
      <x:c r="C135" s="1" t="str">
        <x:v>TJ-A3</x:v>
      </x:c>
      <x:c r="D135" s="1" t="str">
        <x:v>4</x:v>
      </x:c>
      <x:c r="E135" s="27" t="n">
        <x:v>30</x:v>
      </x:c>
      <x:c r="F135" s="27" t="n">
        <x:v>3.5</x:v>
      </x:c>
      <x:c r="G135" s="27" t="n">
        <x:v>2.8333333333333335</x:v>
      </x:c>
      <x:c r="H135" s="27"/>
      <x:c r="I135" s="27" t="n">
        <x:f>IF(OR(E135="",E135&lt;=0),"n.a.",J135/E135)</x:f>
        <x:v>9.916666666665373</x:v>
      </x:c>
      <x:c r="J135" s="27" t="n">
        <x:v>297.4999999999612</x:v>
      </x:c>
      <x:c r="K135" s="27"/>
      <x:c r="L135" s="27" t="n">
        <x:v>297.4999999999612</x:v>
      </x:c>
      <x:c r="M135" s="27" t="n">
        <x:v>2180</x:v>
      </x:c>
      <x:c r="N135" s="27" t="n">
        <x:v>2182.8333333333335</x:v>
      </x:c>
      <x:c r="O135" s="27"/>
      <x:c r="P135" s="27"/>
      <x:c r="Q135" s="1" t="str">
        <x:v>FILL_CUT</x:v>
      </x:c>
      <x:c r="R135" s="1" t="str">
        <x:v>BACKFILL_STAGE</x:v>
      </x:c>
    </x:row>
    <x:row r="136" ht="22" customHeight="1">
      <x:c r="A136" s="1" t="str">
        <x:v>TJ-A3-C05</x:v>
      </x:c>
      <x:c r="B136" s="1" t="str">
        <x:v>CYR_OVERHAND</x:v>
      </x:c>
      <x:c r="C136" s="1" t="str">
        <x:v>TJ-A3</x:v>
      </x:c>
      <x:c r="D136" s="1" t="str">
        <x:v>5</x:v>
      </x:c>
      <x:c r="E136" s="27" t="n">
        <x:v>30</x:v>
      </x:c>
      <x:c r="F136" s="27" t="n">
        <x:v>1.7425683000820058</x:v>
      </x:c>
      <x:c r="G136" s="27" t="n">
        <x:v>3.333333333333485</x:v>
      </x:c>
      <x:c r="H136" s="27"/>
      <x:c r="I136" s="27" t="n">
        <x:f>IF(OR(E136="",E136&lt;=0),"n.a.",J136/E136)</x:f>
        <x:v>5.570447186103926</x:v>
      </x:c>
      <x:c r="J136" s="27" t="n">
        <x:v>167.11341558311778</x:v>
      </x:c>
      <x:c r="K136" s="27"/>
      <x:c r="L136" s="27"/>
      <x:c r="M136" s="27" t="n">
        <x:v>2183.3333333333335</x:v>
      </x:c>
      <x:c r="N136" s="27" t="n">
        <x:v>2186.666666666667</x:v>
      </x:c>
      <x:c r="O136" s="27"/>
      <x:c r="P136" s="27"/>
      <x:c r="Q136" s="1" t="str">
        <x:v>ORE_CUT</x:v>
      </x:c>
      <x:c r="R136" s="1" t="str">
        <x:v>ORE_STOPE</x:v>
      </x:c>
    </x:row>
    <x:row r="137" ht="22" customHeight="1">
      <x:c r="A137" s="1" t="str">
        <x:v>EXC-TJ-A3-C05</x:v>
      </x:c>
      <x:c r="B137" s="1" t="str">
        <x:v>CYR_OVERHAND</x:v>
      </x:c>
      <x:c r="C137" s="1" t="str">
        <x:v>TJ-A3</x:v>
      </x:c>
      <x:c r="D137" s="1" t="str">
        <x:v>5</x:v>
      </x:c>
      <x:c r="E137" s="27" t="n">
        <x:v>30</x:v>
      </x:c>
      <x:c r="F137" s="27" t="n">
        <x:v>3.5</x:v>
      </x:c>
      <x:c r="G137" s="27" t="n">
        <x:v>3.8333333333333335</x:v>
      </x:c>
      <x:c r="H137" s="27" t="n">
        <x:v>13.041113452612203</x:v>
      </x:c>
      <x:c r="I137" s="27" t="n">
        <x:f>IF(OR(E137="",E137&lt;=0),"n.a.",J137/E137)</x:f>
        <x:v>13.03229892077943</x:v>
      </x:c>
      <x:c r="J137" s="27" t="n">
        <x:v>390.9689676233829</x:v>
      </x:c>
      <x:c r="K137" s="27" t="n">
        <x:v>167.11341558311778</x:v>
      </x:c>
      <x:c r="L137" s="27"/>
      <x:c r="M137" s="27" t="n">
        <x:v>2183.3333333333335</x:v>
      </x:c>
      <x:c r="N137" s="27" t="n">
        <x:v>2187.166666666667</x:v>
      </x:c>
      <x:c r="O137" s="27" t="n">
        <x:v>0</x:v>
      </x:c>
      <x:c r="P137" s="27"/>
      <x:c r="Q137" s="1" t="str">
        <x:v>EXCAVATION</x:v>
      </x:c>
      <x:c r="R137" s="1" t="str">
        <x:v>CYR_STAGE_EXCAVATION</x:v>
      </x:c>
    </x:row>
    <x:row r="138" ht="22" customHeight="1">
      <x:c r="A138" s="1" t="str">
        <x:v>RLL-TJ-A3-C05</x:v>
      </x:c>
      <x:c r="B138" s="1" t="str">
        <x:v>CYR_OVERHAND</x:v>
      </x:c>
      <x:c r="C138" s="1" t="str">
        <x:v>TJ-A3</x:v>
      </x:c>
      <x:c r="D138" s="1" t="str">
        <x:v>5</x:v>
      </x:c>
      <x:c r="E138" s="27" t="n">
        <x:v>30</x:v>
      </x:c>
      <x:c r="F138" s="27" t="n">
        <x:v>3.5</x:v>
      </x:c>
      <x:c r="G138" s="27" t="n">
        <x:v>2.8333333333333335</x:v>
      </x:c>
      <x:c r="H138" s="27"/>
      <x:c r="I138" s="27" t="n">
        <x:f>IF(OR(E138="",E138&lt;=0),"n.a.",J138/E138)</x:f>
        <x:v>9.916666666667961</x:v>
      </x:c>
      <x:c r="J138" s="27" t="n">
        <x:v>297.5000000000388</x:v>
      </x:c>
      <x:c r="K138" s="27"/>
      <x:c r="L138" s="27" t="n">
        <x:v>297.5000000000388</x:v>
      </x:c>
      <x:c r="M138" s="27" t="n">
        <x:v>2183.3333333333335</x:v>
      </x:c>
      <x:c r="N138" s="27" t="n">
        <x:v>2186.166666666667</x:v>
      </x:c>
      <x:c r="O138" s="27"/>
      <x:c r="P138" s="27"/>
      <x:c r="Q138" s="1" t="str">
        <x:v>FILL_CUT</x:v>
      </x:c>
      <x:c r="R138" s="1" t="str">
        <x:v>BACKFILL_STAGE</x:v>
      </x:c>
    </x:row>
    <x:row r="139" ht="22" customHeight="1">
      <x:c r="A139" s="1" t="str">
        <x:v>TJ-A3-C06</x:v>
      </x:c>
      <x:c r="B139" s="1" t="str">
        <x:v>CYR_OVERHAND</x:v>
      </x:c>
      <x:c r="C139" s="1" t="str">
        <x:v>TJ-A3</x:v>
      </x:c>
      <x:c r="D139" s="1" t="str">
        <x:v>6</x:v>
      </x:c>
      <x:c r="E139" s="27" t="n">
        <x:v>30</x:v>
      </x:c>
      <x:c r="F139" s="27" t="n">
        <x:v>1.7419993658843644</x:v>
      </x:c>
      <x:c r="G139" s="27" t="n">
        <x:v>3.333333333333485</x:v>
      </x:c>
      <x:c r="H139" s="27"/>
      <x:c r="I139" s="27" t="n">
        <x:f>IF(OR(E139="",E139&lt;=0),"n.a.",J139/E139)</x:f>
        <x:v>5.56817033391438</x:v>
      </x:c>
      <x:c r="J139" s="27" t="n">
        <x:v>167.0451100174314</x:v>
      </x:c>
      <x:c r="K139" s="27"/>
      <x:c r="L139" s="27"/>
      <x:c r="M139" s="27" t="n">
        <x:v>2186.6666666666665</x:v>
      </x:c>
      <x:c r="N139" s="27" t="n">
        <x:v>2190</x:v>
      </x:c>
      <x:c r="O139" s="27"/>
      <x:c r="P139" s="27"/>
      <x:c r="Q139" s="1" t="str">
        <x:v>ORE_CUT</x:v>
      </x:c>
      <x:c r="R139" s="1" t="str">
        <x:v>ORE_STOPE</x:v>
      </x:c>
    </x:row>
    <x:row r="140" ht="22" customHeight="1">
      <x:c r="A140" s="1" t="str">
        <x:v>EXC-TJ-A3-C06</x:v>
      </x:c>
      <x:c r="B140" s="1" t="str">
        <x:v>CYR_OVERHAND</x:v>
      </x:c>
      <x:c r="C140" s="1" t="str">
        <x:v>TJ-A3</x:v>
      </x:c>
      <x:c r="D140" s="1" t="str">
        <x:v>6</x:v>
      </x:c>
      <x:c r="E140" s="27" t="n">
        <x:v>30</x:v>
      </x:c>
      <x:c r="F140" s="27" t="n">
        <x:v>3.5</x:v>
      </x:c>
      <x:c r="G140" s="27" t="n">
        <x:v>3.8333333333333335</x:v>
      </x:c>
      <x:c r="H140" s="27" t="n">
        <x:v>13.041113452612203</x:v>
      </x:c>
      <x:c r="I140" s="27" t="n">
        <x:f>IF(OR(E140="",E140&lt;=0),"n.a.",J140/E140)</x:f>
        <x:v>13.03229892077846</x:v>
      </x:c>
      <x:c r="J140" s="27" t="n">
        <x:v>390.9689676233538</x:v>
      </x:c>
      <x:c r="K140" s="27" t="n">
        <x:v>167.0451100174314</x:v>
      </x:c>
      <x:c r="L140" s="27"/>
      <x:c r="M140" s="27" t="n">
        <x:v>2186.6666666666665</x:v>
      </x:c>
      <x:c r="N140" s="27" t="n">
        <x:v>2190.5</x:v>
      </x:c>
      <x:c r="O140" s="27" t="n">
        <x:v>0</x:v>
      </x:c>
      <x:c r="P140" s="27"/>
      <x:c r="Q140" s="1" t="str">
        <x:v>EXCAVATION</x:v>
      </x:c>
      <x:c r="R140" s="1" t="str">
        <x:v>CYR_STAGE_EXCAVATION</x:v>
      </x:c>
    </x:row>
    <x:row r="141" ht="22" customHeight="1">
      <x:c r="A141" s="1" t="str">
        <x:v>RLL-TJ-A3-C06</x:v>
      </x:c>
      <x:c r="B141" s="1" t="str">
        <x:v>CYR_OVERHAND</x:v>
      </x:c>
      <x:c r="C141" s="1" t="str">
        <x:v>TJ-A3</x:v>
      </x:c>
      <x:c r="D141" s="1" t="str">
        <x:v>6</x:v>
      </x:c>
      <x:c r="E141" s="27" t="n">
        <x:v>30</x:v>
      </x:c>
      <x:c r="F141" s="27" t="n">
        <x:v>3.5</x:v>
      </x:c>
      <x:c r="G141" s="27" t="n">
        <x:v>2.8333333333333335</x:v>
      </x:c>
      <x:c r="H141" s="27"/>
      <x:c r="I141" s="27" t="n">
        <x:f>IF(OR(E141="",E141&lt;=0),"n.a.",J141/E141)</x:f>
        <x:v>9.916666666666666</x:v>
      </x:c>
      <x:c r="J141" s="27" t="n">
        <x:v>297.5</x:v>
      </x:c>
      <x:c r="K141" s="27"/>
      <x:c r="L141" s="27" t="n">
        <x:v>297.5</x:v>
      </x:c>
      <x:c r="M141" s="27" t="n">
        <x:v>2186.6666666666665</x:v>
      </x:c>
      <x:c r="N141" s="27" t="n">
        <x:v>2189.5</x:v>
      </x:c>
      <x:c r="O141" s="27"/>
      <x:c r="P141" s="27"/>
      <x:c r="Q141" s="1" t="str">
        <x:v>FILL_CUT</x:v>
      </x:c>
      <x:c r="R141" s="1" t="str">
        <x:v>BACKFILL_STAGE</x:v>
      </x:c>
    </x:row>
    <x:row r="142" ht="22" customHeight="1">
      <x:c r="A142" s="1" t="str">
        <x:v>TJ-A3-C07</x:v>
      </x:c>
      <x:c r="B142" s="1" t="str">
        <x:v>CYR_OVERHAND</x:v>
      </x:c>
      <x:c r="C142" s="1" t="str">
        <x:v>TJ-A3</x:v>
      </x:c>
      <x:c r="D142" s="1" t="str">
        <x:v>7</x:v>
      </x:c>
      <x:c r="E142" s="27" t="n">
        <x:v>30</x:v>
      </x:c>
      <x:c r="F142" s="27" t="n">
        <x:v>1.741430431686723</x:v>
      </x:c>
      <x:c r="G142" s="27" t="n">
        <x:v>3.333333333333485</x:v>
      </x:c>
      <x:c r="H142" s="27"/>
      <x:c r="I142" s="27" t="n">
        <x:f>IF(OR(E142="",E142&lt;=0),"n.a.",J142/E142)</x:f>
        <x:v>5.565898992159388</x:v>
      </x:c>
      <x:c r="J142" s="27" t="n">
        <x:v>166.97696976478164</x:v>
      </x:c>
      <x:c r="K142" s="27"/>
      <x:c r="L142" s="27"/>
      <x:c r="M142" s="27" t="n">
        <x:v>2190</x:v>
      </x:c>
      <x:c r="N142" s="27" t="n">
        <x:v>2193.3333333333335</x:v>
      </x:c>
      <x:c r="O142" s="27"/>
      <x:c r="P142" s="27"/>
      <x:c r="Q142" s="1" t="str">
        <x:v>ORE_CUT</x:v>
      </x:c>
      <x:c r="R142" s="1" t="str">
        <x:v>ORE_STOPE</x:v>
      </x:c>
    </x:row>
    <x:row r="143" ht="22" customHeight="1">
      <x:c r="A143" s="1" t="str">
        <x:v>EXC-TJ-A3-C07</x:v>
      </x:c>
      <x:c r="B143" s="1" t="str">
        <x:v>CYR_OVERHAND</x:v>
      </x:c>
      <x:c r="C143" s="1" t="str">
        <x:v>TJ-A3</x:v>
      </x:c>
      <x:c r="D143" s="1" t="str">
        <x:v>7</x:v>
      </x:c>
      <x:c r="E143" s="27" t="n">
        <x:v>30</x:v>
      </x:c>
      <x:c r="F143" s="27" t="n">
        <x:v>3.5</x:v>
      </x:c>
      <x:c r="G143" s="27" t="n">
        <x:v>3.8333333333333335</x:v>
      </x:c>
      <x:c r="H143" s="27" t="n">
        <x:v>13.041113452612203</x:v>
      </x:c>
      <x:c r="I143" s="27" t="n">
        <x:f>IF(OR(E143="",E143&lt;=0),"n.a.",J143/E143)</x:f>
        <x:v>13.032298920779107</x:v>
      </x:c>
      <x:c r="J143" s="27" t="n">
        <x:v>390.9689676233732</x:v>
      </x:c>
      <x:c r="K143" s="27" t="n">
        <x:v>166.97696976478164</x:v>
      </x:c>
      <x:c r="L143" s="27"/>
      <x:c r="M143" s="27" t="n">
        <x:v>2190</x:v>
      </x:c>
      <x:c r="N143" s="27" t="n">
        <x:v>2193.8333333333335</x:v>
      </x:c>
      <x:c r="O143" s="27" t="n">
        <x:v>0</x:v>
      </x:c>
      <x:c r="P143" s="27"/>
      <x:c r="Q143" s="1" t="str">
        <x:v>EXCAVATION</x:v>
      </x:c>
      <x:c r="R143" s="1" t="str">
        <x:v>CYR_STAGE_EXCAVATION</x:v>
      </x:c>
    </x:row>
    <x:row r="144" ht="22" customHeight="1">
      <x:c r="A144" s="1" t="str">
        <x:v>RLL-TJ-A3-C07</x:v>
      </x:c>
      <x:c r="B144" s="1" t="str">
        <x:v>CYR_OVERHAND</x:v>
      </x:c>
      <x:c r="C144" s="1" t="str">
        <x:v>TJ-A3</x:v>
      </x:c>
      <x:c r="D144" s="1" t="str">
        <x:v>7</x:v>
      </x:c>
      <x:c r="E144" s="27" t="n">
        <x:v>30</x:v>
      </x:c>
      <x:c r="F144" s="27" t="n">
        <x:v>3.5</x:v>
      </x:c>
      <x:c r="G144" s="27" t="n">
        <x:v>2.8333333333333335</x:v>
      </x:c>
      <x:c r="H144" s="27"/>
      <x:c r="I144" s="27" t="n">
        <x:f>IF(OR(E144="",E144&lt;=0),"n.a.",J144/E144)</x:f>
        <x:v>9.91666666666408</x:v>
      </x:c>
      <x:c r="J144" s="27" t="n">
        <x:v>297.4999999999224</x:v>
      </x:c>
      <x:c r="K144" s="27"/>
      <x:c r="L144" s="27" t="n">
        <x:v>297.4999999999224</x:v>
      </x:c>
      <x:c r="M144" s="27" t="n">
        <x:v>2190</x:v>
      </x:c>
      <x:c r="N144" s="27" t="n">
        <x:v>2192.8333333333335</x:v>
      </x:c>
      <x:c r="O144" s="27"/>
      <x:c r="P144" s="27"/>
      <x:c r="Q144" s="1" t="str">
        <x:v>FILL_CUT</x:v>
      </x:c>
      <x:c r="R144" s="1" t="str">
        <x:v>BACKFILL_STAGE</x:v>
      </x:c>
    </x:row>
    <x:row r="145" ht="22" customHeight="1">
      <x:c r="A145" s="1" t="str">
        <x:v>TJ-A3-C08</x:v>
      </x:c>
      <x:c r="B145" s="1" t="str">
        <x:v>CYR_OVERHAND</x:v>
      </x:c>
      <x:c r="C145" s="1" t="str">
        <x:v>TJ-A3</x:v>
      </x:c>
      <x:c r="D145" s="1" t="str">
        <x:v>8</x:v>
      </x:c>
      <x:c r="E145" s="27" t="n">
        <x:v>30</x:v>
      </x:c>
      <x:c r="F145" s="27" t="n">
        <x:v>1.7408614974890781</x:v>
      </x:c>
      <x:c r="G145" s="27" t="n">
        <x:v>3.333333333333485</x:v>
      </x:c>
      <x:c r="H145" s="27"/>
      <x:c r="I145" s="27" t="n">
        <x:f>IF(OR(E145="",E145&lt;=0),"n.a.",J145/E145)</x:f>
        <x:v>5.5636280847280934</x:v>
      </x:c>
      <x:c r="J145" s="27" t="n">
        <x:v>166.9088425418428</x:v>
      </x:c>
      <x:c r="K145" s="27"/>
      <x:c r="L145" s="27"/>
      <x:c r="M145" s="27" t="n">
        <x:v>2193.3333333333335</x:v>
      </x:c>
      <x:c r="N145" s="27" t="n">
        <x:v>2196.666666666667</x:v>
      </x:c>
      <x:c r="O145" s="27"/>
      <x:c r="P145" s="27"/>
      <x:c r="Q145" s="1" t="str">
        <x:v>ORE_CUT</x:v>
      </x:c>
      <x:c r="R145" s="1" t="str">
        <x:v>ORE_STOPE</x:v>
      </x:c>
    </x:row>
    <x:row r="146" ht="22" customHeight="1">
      <x:c r="A146" s="1" t="str">
        <x:v>EXC-TJ-A3-C08</x:v>
      </x:c>
      <x:c r="B146" s="1" t="str">
        <x:v>CYR_OVERHAND</x:v>
      </x:c>
      <x:c r="C146" s="1" t="str">
        <x:v>TJ-A3</x:v>
      </x:c>
      <x:c r="D146" s="1" t="str">
        <x:v>8</x:v>
      </x:c>
      <x:c r="E146" s="27" t="n">
        <x:v>30</x:v>
      </x:c>
      <x:c r="F146" s="27" t="n">
        <x:v>3.5</x:v>
      </x:c>
      <x:c r="G146" s="27" t="n">
        <x:v>3.8333333333333335</x:v>
      </x:c>
      <x:c r="H146" s="27" t="n">
        <x:v>13.041113452612203</x:v>
      </x:c>
      <x:c r="I146" s="27" t="n">
        <x:f>IF(OR(E146="",E146&lt;=0),"n.a.",J146/E146)</x:f>
        <x:v>13.032298920782502</x:v>
      </x:c>
      <x:c r="J146" s="27" t="n">
        <x:v>390.96896762347507</x:v>
      </x:c>
      <x:c r="K146" s="27" t="n">
        <x:v>166.9088425418428</x:v>
      </x:c>
      <x:c r="L146" s="27"/>
      <x:c r="M146" s="27" t="n">
        <x:v>2193.3333333333335</x:v>
      </x:c>
      <x:c r="N146" s="27" t="n">
        <x:v>2197.166666666667</x:v>
      </x:c>
      <x:c r="O146" s="27" t="n">
        <x:v>0</x:v>
      </x:c>
      <x:c r="P146" s="27"/>
      <x:c r="Q146" s="1" t="str">
        <x:v>EXCAVATION</x:v>
      </x:c>
      <x:c r="R146" s="1" t="str">
        <x:v>CYR_STAGE_EXCAVATION</x:v>
      </x:c>
    </x:row>
    <x:row r="147" ht="22" customHeight="1">
      <x:c r="A147" s="1" t="str">
        <x:v>RLL-TJ-A3-C08</x:v>
      </x:c>
      <x:c r="B147" s="1" t="str">
        <x:v>CYR_OVERHAND</x:v>
      </x:c>
      <x:c r="C147" s="1" t="str">
        <x:v>TJ-A3</x:v>
      </x:c>
      <x:c r="D147" s="1" t="str">
        <x:v>8</x:v>
      </x:c>
      <x:c r="E147" s="27" t="n">
        <x:v>30</x:v>
      </x:c>
      <x:c r="F147" s="27" t="n">
        <x:v>3.5</x:v>
      </x:c>
      <x:c r="G147" s="27" t="n">
        <x:v>2.8333333333333335</x:v>
      </x:c>
      <x:c r="H147" s="27"/>
      <x:c r="I147" s="27" t="n">
        <x:f>IF(OR(E147="",E147&lt;=0),"n.a.",J147/E147)</x:f>
        <x:v>9.916666666673134</x:v>
      </x:c>
      <x:c r="J147" s="27" t="n">
        <x:v>297.500000000194</x:v>
      </x:c>
      <x:c r="K147" s="27"/>
      <x:c r="L147" s="27" t="n">
        <x:v>297.500000000194</x:v>
      </x:c>
      <x:c r="M147" s="27" t="n">
        <x:v>2193.3333333333335</x:v>
      </x:c>
      <x:c r="N147" s="27" t="n">
        <x:v>2196.166666666667</x:v>
      </x:c>
      <x:c r="O147" s="27"/>
      <x:c r="P147" s="27"/>
      <x:c r="Q147" s="1" t="str">
        <x:v>FILL_CUT</x:v>
      </x:c>
      <x:c r="R147" s="1" t="str">
        <x:v>BACKFILL_STAGE</x:v>
      </x:c>
    </x:row>
    <x:row r="148" ht="22" customHeight="1">
      <x:c r="A148" s="1" t="str">
        <x:v>TJ-A3-C09</x:v>
      </x:c>
      <x:c r="B148" s="1" t="str">
        <x:v>CYR_OVERHAND</x:v>
      </x:c>
      <x:c r="C148" s="1" t="str">
        <x:v>TJ-A3</x:v>
      </x:c>
      <x:c r="D148" s="1" t="str">
        <x:v>9</x:v>
      </x:c>
      <x:c r="E148" s="27" t="n">
        <x:v>30</x:v>
      </x:c>
      <x:c r="F148" s="27" t="n">
        <x:v>1.7402925632914368</x:v>
      </x:c>
      <x:c r="G148" s="27" t="n">
        <x:v>3.333333333333485</x:v>
      </x:c>
      <x:c r="H148" s="27"/>
      <x:c r="I148" s="27" t="n">
        <x:f>IF(OR(E148="",E148&lt;=0),"n.a.",J148/E148)</x:f>
        <x:v>5.561357250293925</x:v>
      </x:c>
      <x:c r="J148" s="27" t="n">
        <x:v>166.84071750881776</x:v>
      </x:c>
      <x:c r="K148" s="27"/>
      <x:c r="L148" s="27"/>
      <x:c r="M148" s="27" t="n">
        <x:v>2196.6666666666665</x:v>
      </x:c>
      <x:c r="N148" s="27" t="n">
        <x:v>2200</x:v>
      </x:c>
      <x:c r="O148" s="27"/>
      <x:c r="P148" s="27"/>
      <x:c r="Q148" s="1" t="str">
        <x:v>ORE_CUT</x:v>
      </x:c>
      <x:c r="R148" s="1" t="str">
        <x:v>ORE_STOPE</x:v>
      </x:c>
    </x:row>
    <x:row r="149" ht="22" customHeight="1">
      <x:c r="A149" s="1" t="str">
        <x:v>EXC-TJ-A3-C09</x:v>
      </x:c>
      <x:c r="B149" s="1" t="str">
        <x:v>CYR_OVERHAND</x:v>
      </x:c>
      <x:c r="C149" s="1" t="str">
        <x:v>TJ-A3</x:v>
      </x:c>
      <x:c r="D149" s="1" t="str">
        <x:v>9</x:v>
      </x:c>
      <x:c r="E149" s="27" t="n">
        <x:v>30</x:v>
      </x:c>
      <x:c r="F149" s="27" t="n">
        <x:v>3.5</x:v>
      </x:c>
      <x:c r="G149" s="27" t="n">
        <x:v>3.8333333333333335</x:v>
      </x:c>
      <x:c r="H149" s="27" t="n">
        <x:v>13.041113452612203</x:v>
      </x:c>
      <x:c r="I149" s="27" t="n">
        <x:f>IF(OR(E149="",E149&lt;=0),"n.a.",J149/E149)</x:f>
        <x:v>13.0322989207804</x:v>
      </x:c>
      <x:c r="J149" s="27" t="n">
        <x:v>390.968967623412</x:v>
      </x:c>
      <x:c r="K149" s="27" t="n">
        <x:v>166.84071750881776</x:v>
      </x:c>
      <x:c r="L149" s="27"/>
      <x:c r="M149" s="27" t="n">
        <x:v>2196.6666666666665</x:v>
      </x:c>
      <x:c r="N149" s="27" t="n">
        <x:v>2200.5</x:v>
      </x:c>
      <x:c r="O149" s="27" t="n">
        <x:v>0</x:v>
      </x:c>
      <x:c r="P149" s="27"/>
      <x:c r="Q149" s="1" t="str">
        <x:v>EXCAVATION</x:v>
      </x:c>
      <x:c r="R149" s="1" t="str">
        <x:v>CYR_STAGE_EXCAVATION</x:v>
      </x:c>
    </x:row>
    <x:row r="150" ht="22" customHeight="1">
      <x:c r="A150" s="1" t="str">
        <x:v>RLL-TJ-A3-C09</x:v>
      </x:c>
      <x:c r="B150" s="1" t="str">
        <x:v>CYR_OVERHAND</x:v>
      </x:c>
      <x:c r="C150" s="1" t="str">
        <x:v>TJ-A3</x:v>
      </x:c>
      <x:c r="D150" s="1" t="str">
        <x:v>9</x:v>
      </x:c>
      <x:c r="E150" s="27" t="n">
        <x:v>30</x:v>
      </x:c>
      <x:c r="F150" s="27" t="n">
        <x:v>3.5</x:v>
      </x:c>
      <x:c r="G150" s="27" t="n">
        <x:v>2.8333333333333335</x:v>
      </x:c>
      <x:c r="H150" s="27"/>
      <x:c r="I150" s="27" t="n">
        <x:f>IF(OR(E150="",E150&lt;=0),"n.a.",J150/E150)</x:f>
        <x:v>9.916666666669252</x:v>
      </x:c>
      <x:c r="J150" s="27" t="n">
        <x:v>297.5000000000776</x:v>
      </x:c>
      <x:c r="K150" s="27"/>
      <x:c r="L150" s="27" t="n">
        <x:v>297.5000000000776</x:v>
      </x:c>
      <x:c r="M150" s="27" t="n">
        <x:v>2196.6666666666665</x:v>
      </x:c>
      <x:c r="N150" s="27" t="n">
        <x:v>2199.5</x:v>
      </x:c>
      <x:c r="O150" s="27"/>
      <x:c r="P150" s="27"/>
      <x:c r="Q150" s="1" t="str">
        <x:v>FILL_CUT</x:v>
      </x:c>
      <x:c r="R150" s="1" t="str">
        <x:v>BACKFILL_STAGE</x:v>
      </x:c>
    </x:row>
    <x:row r="151" ht="22" customHeight="1">
      <x:c r="A151" s="1" t="str">
        <x:v>TJ-A3-C10</x:v>
      </x:c>
      <x:c r="B151" s="1" t="str">
        <x:v>CYR_OVERHAND</x:v>
      </x:c>
      <x:c r="C151" s="1" t="str">
        <x:v>TJ-A3</x:v>
      </x:c>
      <x:c r="D151" s="1" t="str">
        <x:v>10</x:v>
      </x:c>
      <x:c r="E151" s="27" t="n">
        <x:v>30</x:v>
      </x:c>
      <x:c r="F151" s="27" t="n">
        <x:v>1.7397236290937954</x:v>
      </x:c>
      <x:c r="G151" s="27" t="n">
        <x:v>3.333333333333485</x:v>
      </x:c>
      <x:c r="H151" s="27"/>
      <x:c r="I151" s="27" t="n">
        <x:f>IF(OR(E151="",E151&lt;=0),"n.a.",J151/E151)</x:f>
        <x:v>5.55908880985937</x:v>
      </x:c>
      <x:c r="J151" s="27" t="n">
        <x:v>166.77266429578108</x:v>
      </x:c>
      <x:c r="K151" s="27"/>
      <x:c r="L151" s="27"/>
      <x:c r="M151" s="27" t="n">
        <x:v>2200</x:v>
      </x:c>
      <x:c r="N151" s="27" t="n">
        <x:v>2203.3333333333335</x:v>
      </x:c>
      <x:c r="O151" s="27"/>
      <x:c r="P151" s="27"/>
      <x:c r="Q151" s="1" t="str">
        <x:v>ORE_CUT</x:v>
      </x:c>
      <x:c r="R151" s="1" t="str">
        <x:v>ORE_STOPE</x:v>
      </x:c>
    </x:row>
    <x:row r="152" ht="22" customHeight="1">
      <x:c r="A152" s="1" t="str">
        <x:v>EXC-TJ-A3-C10</x:v>
      </x:c>
      <x:c r="B152" s="1" t="str">
        <x:v>CYR_OVERHAND</x:v>
      </x:c>
      <x:c r="C152" s="1" t="str">
        <x:v>TJ-A3</x:v>
      </x:c>
      <x:c r="D152" s="1" t="str">
        <x:v>10</x:v>
      </x:c>
      <x:c r="E152" s="27" t="n">
        <x:v>30</x:v>
      </x:c>
      <x:c r="F152" s="27" t="n">
        <x:v>3.5</x:v>
      </x:c>
      <x:c r="G152" s="27" t="n">
        <x:v>3.8333333333333335</x:v>
      </x:c>
      <x:c r="H152" s="27" t="n">
        <x:v>13.041113452612203</x:v>
      </x:c>
      <x:c r="I152" s="27" t="n">
        <x:f>IF(OR(E152="",E152&lt;=0),"n.a.",J152/E152)</x:f>
        <x:v>13.032298920778784</x:v>
      </x:c>
      <x:c r="J152" s="27" t="n">
        <x:v>390.96896762336354</x:v>
      </x:c>
      <x:c r="K152" s="27" t="n">
        <x:v>166.77266429578108</x:v>
      </x:c>
      <x:c r="L152" s="27"/>
      <x:c r="M152" s="27" t="n">
        <x:v>2200</x:v>
      </x:c>
      <x:c r="N152" s="27" t="n">
        <x:v>2203.8333333333335</x:v>
      </x:c>
      <x:c r="O152" s="27" t="n">
        <x:v>0</x:v>
      </x:c>
      <x:c r="P152" s="27"/>
      <x:c r="Q152" s="1" t="str">
        <x:v>EXCAVATION</x:v>
      </x:c>
      <x:c r="R152" s="1" t="str">
        <x:v>CYR_STAGE_EXCAVATION</x:v>
      </x:c>
    </x:row>
    <x:row r="153" ht="22" customHeight="1">
      <x:c r="A153" s="1" t="str">
        <x:v>RLL-TJ-A3-C10</x:v>
      </x:c>
      <x:c r="B153" s="1" t="str">
        <x:v>CYR_OVERHAND</x:v>
      </x:c>
      <x:c r="C153" s="1" t="str">
        <x:v>TJ-A3</x:v>
      </x:c>
      <x:c r="D153" s="1" t="str">
        <x:v>10</x:v>
      </x:c>
      <x:c r="E153" s="27" t="n">
        <x:v>30</x:v>
      </x:c>
      <x:c r="F153" s="27" t="n">
        <x:v>3.5</x:v>
      </x:c>
      <x:c r="G153" s="27" t="n">
        <x:v>2.8333333333333335</x:v>
      </x:c>
      <x:c r="H153" s="27"/>
      <x:c r="I153" s="27" t="n">
        <x:f>IF(OR(E153="",E153&lt;=0),"n.a.",J153/E153)</x:f>
        <x:v>9.916666666670547</x:v>
      </x:c>
      <x:c r="J153" s="27" t="n">
        <x:v>297.5000000001164</x:v>
      </x:c>
      <x:c r="K153" s="27"/>
      <x:c r="L153" s="27" t="n">
        <x:v>297.5000000001164</x:v>
      </x:c>
      <x:c r="M153" s="27" t="n">
        <x:v>2200</x:v>
      </x:c>
      <x:c r="N153" s="27" t="n">
        <x:v>2202.8333333333335</x:v>
      </x:c>
      <x:c r="O153" s="27"/>
      <x:c r="P153" s="27"/>
      <x:c r="Q153" s="1" t="str">
        <x:v>FILL_CUT</x:v>
      </x:c>
      <x:c r="R153" s="1" t="str">
        <x:v>BACKFILL_STAGE</x:v>
      </x:c>
    </x:row>
    <x:row r="154" ht="22" customHeight="1">
      <x:c r="A154" s="1" t="str">
        <x:v>TJ-A3-C11</x:v>
      </x:c>
      <x:c r="B154" s="1" t="str">
        <x:v>CYR_OVERHAND</x:v>
      </x:c>
      <x:c r="C154" s="1" t="str">
        <x:v>TJ-A3</x:v>
      </x:c>
      <x:c r="D154" s="1" t="str">
        <x:v>11</x:v>
      </x:c>
      <x:c r="E154" s="27" t="n">
        <x:v>30</x:v>
      </x:c>
      <x:c r="F154" s="27" t="n">
        <x:v>1.7391721056902476</x:v>
      </x:c>
      <x:c r="G154" s="27" t="n">
        <x:v>3.333333333333485</x:v>
      </x:c>
      <x:c r="H154" s="27"/>
      <x:c r="I154" s="27" t="n">
        <x:f>IF(OR(E154="",E154&lt;=0),"n.a.",J154/E154)</x:f>
        <x:v>5.556827229467399</x:v>
      </x:c>
      <x:c r="J154" s="27" t="n">
        <x:v>166.70481688402197</x:v>
      </x:c>
      <x:c r="K154" s="27"/>
      <x:c r="L154" s="27"/>
      <x:c r="M154" s="27" t="n">
        <x:v>2203.3333333333335</x:v>
      </x:c>
      <x:c r="N154" s="27" t="n">
        <x:v>2206.666666666667</x:v>
      </x:c>
      <x:c r="O154" s="27"/>
      <x:c r="P154" s="27"/>
      <x:c r="Q154" s="1" t="str">
        <x:v>ORE_CUT</x:v>
      </x:c>
      <x:c r="R154" s="1" t="str">
        <x:v>ORE_STOPE</x:v>
      </x:c>
    </x:row>
    <x:row r="155" ht="22" customHeight="1">
      <x:c r="A155" s="1" t="str">
        <x:v>EXC-TJ-A3-C11</x:v>
      </x:c>
      <x:c r="B155" s="1" t="str">
        <x:v>CYR_OVERHAND</x:v>
      </x:c>
      <x:c r="C155" s="1" t="str">
        <x:v>TJ-A3</x:v>
      </x:c>
      <x:c r="D155" s="1" t="str">
        <x:v>11</x:v>
      </x:c>
      <x:c r="E155" s="27" t="n">
        <x:v>30</x:v>
      </x:c>
      <x:c r="F155" s="27" t="n">
        <x:v>3.5</x:v>
      </x:c>
      <x:c r="G155" s="27" t="n">
        <x:v>3.8333333333333335</x:v>
      </x:c>
      <x:c r="H155" s="27" t="n">
        <x:v>13.041113452612203</x:v>
      </x:c>
      <x:c r="I155" s="27" t="n">
        <x:f>IF(OR(E155="",E155&lt;=0),"n.a.",J155/E155)</x:f>
        <x:v>13.032298920780077</x:v>
      </x:c>
      <x:c r="J155" s="27" t="n">
        <x:v>390.9689676234023</x:v>
      </x:c>
      <x:c r="K155" s="27" t="n">
        <x:v>166.70481688402197</x:v>
      </x:c>
      <x:c r="L155" s="27"/>
      <x:c r="M155" s="27" t="n">
        <x:v>2203.3333333333335</x:v>
      </x:c>
      <x:c r="N155" s="27" t="n">
        <x:v>2207.166666666667</x:v>
      </x:c>
      <x:c r="O155" s="27" t="n">
        <x:v>0</x:v>
      </x:c>
      <x:c r="P155" s="27"/>
      <x:c r="Q155" s="1" t="str">
        <x:v>EXCAVATION</x:v>
      </x:c>
      <x:c r="R155" s="1" t="str">
        <x:v>CYR_STAGE_EXCAVATION</x:v>
      </x:c>
    </x:row>
    <x:row r="156" ht="22" customHeight="1">
      <x:c r="A156" s="1" t="str">
        <x:v>RLL-TJ-A3-C11</x:v>
      </x:c>
      <x:c r="B156" s="1" t="str">
        <x:v>CYR_OVERHAND</x:v>
      </x:c>
      <x:c r="C156" s="1" t="str">
        <x:v>TJ-A3</x:v>
      </x:c>
      <x:c r="D156" s="1" t="str">
        <x:v>11</x:v>
      </x:c>
      <x:c r="E156" s="27" t="n">
        <x:v>30</x:v>
      </x:c>
      <x:c r="F156" s="27" t="n">
        <x:v>3.5</x:v>
      </x:c>
      <x:c r="G156" s="27" t="n">
        <x:v>2.8333333333333335</x:v>
      </x:c>
      <x:c r="H156" s="27"/>
      <x:c r="I156" s="27" t="n">
        <x:f>IF(OR(E156="",E156&lt;=0),"n.a.",J156/E156)</x:f>
        <x:v>9.916666666666666</x:v>
      </x:c>
      <x:c r="J156" s="27" t="n">
        <x:v>297.5</x:v>
      </x:c>
      <x:c r="K156" s="27"/>
      <x:c r="L156" s="27" t="n">
        <x:v>297.5</x:v>
      </x:c>
      <x:c r="M156" s="27" t="n">
        <x:v>2203.3333333333335</x:v>
      </x:c>
      <x:c r="N156" s="27" t="n">
        <x:v>2206.166666666667</x:v>
      </x:c>
      <x:c r="O156" s="27"/>
      <x:c r="P156" s="27"/>
      <x:c r="Q156" s="1" t="str">
        <x:v>FILL_CUT</x:v>
      </x:c>
      <x:c r="R156" s="1" t="str">
        <x:v>BACKFILL_STAGE</x:v>
      </x:c>
    </x:row>
    <x:row r="157" ht="22" customHeight="1">
      <x:c r="A157" s="1" t="str">
        <x:v>TJ-A3-C12</x:v>
      </x:c>
      <x:c r="B157" s="1" t="str">
        <x:v>CYR_OVERHAND</x:v>
      </x:c>
      <x:c r="C157" s="1" t="str">
        <x:v>TJ-A3</x:v>
      </x:c>
      <x:c r="D157" s="1" t="str">
        <x:v>12</x:v>
      </x:c>
      <x:c r="E157" s="27" t="n">
        <x:v>30</x:v>
      </x:c>
      <x:c r="F157" s="27" t="n">
        <x:v>1.7386255995190325</x:v>
      </x:c>
      <x:c r="G157" s="27" t="n">
        <x:v>3.333333333333485</x:v>
      </x:c>
      <x:c r="H157" s="27"/>
      <x:c r="I157" s="27" t="n">
        <x:f>IF(OR(E157="",E157&lt;=0),"n.a.",J157/E157)</x:f>
        <x:v>5.554574190761145</x:v>
      </x:c>
      <x:c r="J157" s="27" t="n">
        <x:v>166.63722572283436</x:v>
      </x:c>
      <x:c r="K157" s="27"/>
      <x:c r="L157" s="27"/>
      <x:c r="M157" s="27" t="n">
        <x:v>2206.6666666666665</x:v>
      </x:c>
      <x:c r="N157" s="27" t="n">
        <x:v>2210</x:v>
      </x:c>
      <x:c r="O157" s="27"/>
      <x:c r="P157" s="27"/>
      <x:c r="Q157" s="1" t="str">
        <x:v>ORE_CUT</x:v>
      </x:c>
      <x:c r="R157" s="1" t="str">
        <x:v>ORE_STOPE</x:v>
      </x:c>
    </x:row>
    <x:row r="158" ht="22" customHeight="1">
      <x:c r="A158" s="1" t="str">
        <x:v>EXC-TJ-A3-C12</x:v>
      </x:c>
      <x:c r="B158" s="1" t="str">
        <x:v>CYR_OVERHAND</x:v>
      </x:c>
      <x:c r="C158" s="1" t="str">
        <x:v>TJ-A3</x:v>
      </x:c>
      <x:c r="D158" s="1" t="str">
        <x:v>12</x:v>
      </x:c>
      <x:c r="E158" s="27" t="n">
        <x:v>30</x:v>
      </x:c>
      <x:c r="F158" s="27" t="n">
        <x:v>3.5</x:v>
      </x:c>
      <x:c r="G158" s="27" t="n">
        <x:v>3.8333333333333335</x:v>
      </x:c>
      <x:c r="H158" s="27" t="n">
        <x:v>13.041113452612203</x:v>
      </x:c>
      <x:c r="I158" s="27" t="n">
        <x:f>IF(OR(E158="",E158&lt;=0),"n.a.",J158/E158)</x:f>
        <x:v>13.032298920781047</x:v>
      </x:c>
      <x:c r="J158" s="27" t="n">
        <x:v>390.9689676234314</x:v>
      </x:c>
      <x:c r="K158" s="27" t="n">
        <x:v>166.63722572283436</x:v>
      </x:c>
      <x:c r="L158" s="27"/>
      <x:c r="M158" s="27" t="n">
        <x:v>2206.6666666666665</x:v>
      </x:c>
      <x:c r="N158" s="27" t="n">
        <x:v>2210.5</x:v>
      </x:c>
      <x:c r="O158" s="27" t="n">
        <x:v>0</x:v>
      </x:c>
      <x:c r="P158" s="27"/>
      <x:c r="Q158" s="1" t="str">
        <x:v>EXCAVATION</x:v>
      </x:c>
      <x:c r="R158" s="1" t="str">
        <x:v>CYR_STAGE_EXCAVATION</x:v>
      </x:c>
    </x:row>
    <x:row r="159" ht="22" customHeight="1">
      <x:c r="A159" s="1" t="str">
        <x:v>RLL-TJ-A3-C12</x:v>
      </x:c>
      <x:c r="B159" s="1" t="str">
        <x:v>CYR_OVERHAND</x:v>
      </x:c>
      <x:c r="C159" s="1" t="str">
        <x:v>TJ-A3</x:v>
      </x:c>
      <x:c r="D159" s="1" t="str">
        <x:v>12</x:v>
      </x:c>
      <x:c r="E159" s="27" t="n">
        <x:v>30</x:v>
      </x:c>
      <x:c r="F159" s="27" t="n">
        <x:v>3.5</x:v>
      </x:c>
      <x:c r="G159" s="27" t="n">
        <x:v>2.8333333333333335</x:v>
      </x:c>
      <x:c r="H159" s="27"/>
      <x:c r="I159" s="27" t="n">
        <x:f>IF(OR(E159="",E159&lt;=0),"n.a.",J159/E159)</x:f>
        <x:v>9.91666666666408</x:v>
      </x:c>
      <x:c r="J159" s="27" t="n">
        <x:v>297.4999999999224</x:v>
      </x:c>
      <x:c r="K159" s="27"/>
      <x:c r="L159" s="27" t="n">
        <x:v>297.4999999999224</x:v>
      </x:c>
      <x:c r="M159" s="27" t="n">
        <x:v>2206.6666666666665</x:v>
      </x:c>
      <x:c r="N159" s="27" t="n">
        <x:v>2209.5</x:v>
      </x:c>
      <x:c r="O159" s="27"/>
      <x:c r="P159" s="27"/>
      <x:c r="Q159" s="1" t="str">
        <x:v>FILL_CUT</x:v>
      </x:c>
      <x:c r="R159" s="1" t="str">
        <x:v>BACKFILL_STAGE</x:v>
      </x:c>
    </x:row>
    <x:row r="160" ht="22" customHeight="1">
      <x:c r="A160" s="1" t="str">
        <x:v>CX-TJ-A3-RL2170</x:v>
      </x:c>
      <x:c r="B160" s="1" t="str">
        <x:v>CYR_OVERHAND</x:v>
      </x:c>
      <x:c r="C160" s="1" t="str">
        <x:v>TJ-A3</x:v>
      </x:c>
      <x:c r="D160" s="1" t="str"/>
      <x:c r="E160" s="27" t="n">
        <x:v>33.47975980743551</x:v>
      </x:c>
      <x:c r="F160" s="27" t="n">
        <x:v>3.5</x:v>
      </x:c>
      <x:c r="G160" s="27" t="n">
        <x:v>3.5</x:v>
      </x:c>
      <x:c r="H160" s="27" t="n">
        <x:v>11.874446785945535</x:v>
      </x:c>
      <x:c r="I160" s="27" t="n">
        <x:f>IF(OR(E160="",E160&lt;=0),"n.a.",J160/E160)</x:f>
        <x:v>11.862357095150847</x:v>
      </x:c>
      <x:c r="J160" s="27" t="n">
        <x:v>397.1488662956787</x:v>
      </x:c>
      <x:c r="K160" s="27"/>
      <x:c r="L160" s="27"/>
      <x:c r="M160" s="27" t="n">
        <x:v>2170</x:v>
      </x:c>
      <x:c r="N160" s="27" t="n">
        <x:v>2173.5</x:v>
      </x:c>
      <x:c r="O160" s="27" t="n">
        <x:v>0</x:v>
      </x:c>
      <x:c r="P160" s="27" t="n">
        <x:v>19.99999999997188</x:v>
      </x:c>
      <x:c r="Q160" s="1" t="str">
        <x:v>EXCAVATION</x:v>
      </x:c>
      <x:c r="R160" s="1" t="str">
        <x:v>CROSSCUT</x:v>
      </x:c>
    </x:row>
    <x:row r="161" ht="22" customHeight="1">
      <x:c r="A161" s="1" t="str">
        <x:v>CX-TJ-A3-RL2190</x:v>
      </x:c>
      <x:c r="B161" s="1" t="str">
        <x:v>CYR_OVERHAND</x:v>
      </x:c>
      <x:c r="C161" s="1" t="str">
        <x:v>TJ-A3</x:v>
      </x:c>
      <x:c r="D161" s="1" t="str"/>
      <x:c r="E161" s="27" t="n">
        <x:v>33.4797598074355</x:v>
      </x:c>
      <x:c r="F161" s="27" t="n">
        <x:v>3.5</x:v>
      </x:c>
      <x:c r="G161" s="27" t="n">
        <x:v>3.5</x:v>
      </x:c>
      <x:c r="H161" s="27" t="n">
        <x:v>11.874446785945535</x:v>
      </x:c>
      <x:c r="I161" s="27" t="n">
        <x:f>IF(OR(E161="",E161&lt;=0),"n.a.",J161/E161)</x:f>
        <x:v>11.862357095151427</x:v>
      </x:c>
      <x:c r="J161" s="27" t="n">
        <x:v>397.1488662956981</x:v>
      </x:c>
      <x:c r="K161" s="27"/>
      <x:c r="L161" s="27"/>
      <x:c r="M161" s="27" t="n">
        <x:v>2190</x:v>
      </x:c>
      <x:c r="N161" s="27" t="n">
        <x:v>2193.5</x:v>
      </x:c>
      <x:c r="O161" s="27" t="n">
        <x:v>0</x:v>
      </x:c>
      <x:c r="P161" s="27" t="n">
        <x:v>19.99999999997188</x:v>
      </x:c>
      <x:c r="Q161" s="1" t="str">
        <x:v>EXCAVATION</x:v>
      </x:c>
      <x:c r="R161" s="1" t="str">
        <x:v>CROSSCUT</x:v>
      </x:c>
    </x:row>
    <x:row r="162" ht="22" customHeight="1">
      <x:c r="A162" s="1" t="str">
        <x:v>CX-TJ-A3-RL2210</x:v>
      </x:c>
      <x:c r="B162" s="1" t="str">
        <x:v>CYR_OVERHAND</x:v>
      </x:c>
      <x:c r="C162" s="1" t="str">
        <x:v>TJ-A3</x:v>
      </x:c>
      <x:c r="D162" s="1" t="str"/>
      <x:c r="E162" s="27" t="n">
        <x:v>33.47975980743549</x:v>
      </x:c>
      <x:c r="F162" s="27" t="n">
        <x:v>3.5</x:v>
      </x:c>
      <x:c r="G162" s="27" t="n">
        <x:v>3.5</x:v>
      </x:c>
      <x:c r="H162" s="27" t="n">
        <x:v>11.874446785945535</x:v>
      </x:c>
      <x:c r="I162" s="27" t="n">
        <x:f>IF(OR(E162="",E162&lt;=0),"n.a.",J162/E162)</x:f>
        <x:v>11.8623570951523</x:v>
      </x:c>
      <x:c r="J162" s="27" t="n">
        <x:v>397.1488662957272</x:v>
      </x:c>
      <x:c r="K162" s="27"/>
      <x:c r="L162" s="27"/>
      <x:c r="M162" s="27" t="n">
        <x:v>2210</x:v>
      </x:c>
      <x:c r="N162" s="27" t="n">
        <x:v>2213.5</x:v>
      </x:c>
      <x:c r="O162" s="27" t="n">
        <x:v>0</x:v>
      </x:c>
      <x:c r="P162" s="27" t="n">
        <x:v>19.99999999997188</x:v>
      </x:c>
      <x:c r="Q162" s="1" t="str">
        <x:v>EXCAVATION</x:v>
      </x:c>
      <x:c r="R162" s="1" t="str">
        <x:v>CROSSCUT</x:v>
      </x:c>
    </x:row>
    <x:row r="163" ht="22" customHeight="1">
      <x:c r="A163" s="1" t="str">
        <x:v>TJ-A4</x:v>
      </x:c>
      <x:c r="B163" s="1" t="str">
        <x:v>CYR_OVERHAND</x:v>
      </x:c>
      <x:c r="C163" s="1" t="str">
        <x:v>TJ-A4</x:v>
      </x:c>
      <x:c r="D163" s="1" t="str"/>
      <x:c r="E163" s="27" t="n">
        <x:v>30</x:v>
      </x:c>
      <x:c r="F163" s="27" t="n">
        <x:v>1.9419145435595233</x:v>
      </x:c>
      <x:c r="G163" s="27" t="n">
        <x:v>40</x:v>
      </x:c>
      <x:c r="H163" s="27"/>
      <x:c r="I163" s="27" t="n">
        <x:f>IF(OR(E163="",E163&lt;=0),"n.a.",J163/E163)</x:f>
        <x:v>74.5966041362825</x:v>
      </x:c>
      <x:c r="J163" s="27" t="n">
        <x:v>2237.898124088475</x:v>
      </x:c>
      <x:c r="K163" s="27"/>
      <x:c r="L163" s="27"/>
      <x:c r="M163" s="27" t="n">
        <x:v>2170</x:v>
      </x:c>
      <x:c r="N163" s="27" t="n">
        <x:v>2210</x:v>
      </x:c>
      <x:c r="O163" s="27"/>
      <x:c r="P163" s="27"/>
      <x:c r="Q163" s="1" t="str">
        <x:v>ORE_STOPE_TOTAL</x:v>
      </x:c>
      <x:c r="R163" s="1" t="str">
        <x:v>ORE_STOPE</x:v>
      </x:c>
    </x:row>
    <x:row r="164" ht="22" customHeight="1">
      <x:c r="A164" s="1" t="str">
        <x:v>TJ-A4-C01</x:v>
      </x:c>
      <x:c r="B164" s="1" t="str">
        <x:v>CYR_OVERHAND</x:v>
      </x:c>
      <x:c r="C164" s="1" t="str">
        <x:v>TJ-A4</x:v>
      </x:c>
      <x:c r="D164" s="1" t="str">
        <x:v>1</x:v>
      </x:c>
      <x:c r="E164" s="27" t="n">
        <x:v>30</x:v>
      </x:c>
      <x:c r="F164" s="27" t="n">
        <x:v>1.9419145435595233</x:v>
      </x:c>
      <x:c r="G164" s="27" t="n">
        <x:v>3.333333333333485</x:v>
      </x:c>
      <x:c r="H164" s="27"/>
      <x:c r="I164" s="27" t="n">
        <x:f>IF(OR(E164="",E164&lt;=0),"n.a.",J164/E164)</x:f>
        <x:v>6.223399900763535</x:v>
      </x:c>
      <x:c r="J164" s="27" t="n">
        <x:v>186.70199702290606</x:v>
      </x:c>
      <x:c r="K164" s="27"/>
      <x:c r="L164" s="27"/>
      <x:c r="M164" s="27" t="n">
        <x:v>2170</x:v>
      </x:c>
      <x:c r="N164" s="27" t="n">
        <x:v>2173.3333333333335</x:v>
      </x:c>
      <x:c r="O164" s="27"/>
      <x:c r="P164" s="27"/>
      <x:c r="Q164" s="1" t="str">
        <x:v>ORE_CUT</x:v>
      </x:c>
      <x:c r="R164" s="1" t="str">
        <x:v>ORE_STOPE</x:v>
      </x:c>
    </x:row>
    <x:row r="165" ht="22" customHeight="1">
      <x:c r="A165" s="1" t="str">
        <x:v>EXC-TJ-A4-C01</x:v>
      </x:c>
      <x:c r="B165" s="1" t="str">
        <x:v>CYR_OVERHAND</x:v>
      </x:c>
      <x:c r="C165" s="1" t="str">
        <x:v>TJ-A4</x:v>
      </x:c>
      <x:c r="D165" s="1" t="str">
        <x:v>1</x:v>
      </x:c>
      <x:c r="E165" s="27" t="n">
        <x:v>30</x:v>
      </x:c>
      <x:c r="F165" s="27" t="n">
        <x:v>3.5</x:v>
      </x:c>
      <x:c r="G165" s="27" t="n">
        <x:v>3.8333333333333335</x:v>
      </x:c>
      <x:c r="H165" s="27" t="n">
        <x:v>13.041113452612203</x:v>
      </x:c>
      <x:c r="I165" s="27" t="n">
        <x:f>IF(OR(E165="",E165&lt;=0),"n.a.",J165/E165)</x:f>
        <x:v>13.032298920778299</x:v>
      </x:c>
      <x:c r="J165" s="27" t="n">
        <x:v>390.968967623349</x:v>
      </x:c>
      <x:c r="K165" s="27" t="n">
        <x:v>186.70199702290606</x:v>
      </x:c>
      <x:c r="L165" s="27"/>
      <x:c r="M165" s="27" t="n">
        <x:v>2170</x:v>
      </x:c>
      <x:c r="N165" s="27" t="n">
        <x:v>2173.8333333333335</x:v>
      </x:c>
      <x:c r="O165" s="27" t="n">
        <x:v>0</x:v>
      </x:c>
      <x:c r="P165" s="27"/>
      <x:c r="Q165" s="1" t="str">
        <x:v>EXCAVATION</x:v>
      </x:c>
      <x:c r="R165" s="1" t="str">
        <x:v>CYR_STAGE_EXCAVATION</x:v>
      </x:c>
    </x:row>
    <x:row r="166" ht="22" customHeight="1">
      <x:c r="A166" s="1" t="str">
        <x:v>RLL-TJ-A4-C01</x:v>
      </x:c>
      <x:c r="B166" s="1" t="str">
        <x:v>CYR_OVERHAND</x:v>
      </x:c>
      <x:c r="C166" s="1" t="str">
        <x:v>TJ-A4</x:v>
      </x:c>
      <x:c r="D166" s="1" t="str">
        <x:v>1</x:v>
      </x:c>
      <x:c r="E166" s="27" t="n">
        <x:v>30</x:v>
      </x:c>
      <x:c r="F166" s="27" t="n">
        <x:v>3.5</x:v>
      </x:c>
      <x:c r="G166" s="27" t="n">
        <x:v>2.8333333333333335</x:v>
      </x:c>
      <x:c r="H166" s="27"/>
      <x:c r="I166" s="27" t="n">
        <x:f>IF(OR(E166="",E166&lt;=0),"n.a.",J166/E166)</x:f>
        <x:v>9.91666666666408</x:v>
      </x:c>
      <x:c r="J166" s="27" t="n">
        <x:v>297.4999999999224</x:v>
      </x:c>
      <x:c r="K166" s="27"/>
      <x:c r="L166" s="27" t="n">
        <x:v>297.4999999999224</x:v>
      </x:c>
      <x:c r="M166" s="27" t="n">
        <x:v>2170</x:v>
      </x:c>
      <x:c r="N166" s="27" t="n">
        <x:v>2172.8333333333335</x:v>
      </x:c>
      <x:c r="O166" s="27"/>
      <x:c r="P166" s="27"/>
      <x:c r="Q166" s="1" t="str">
        <x:v>FILL_CUT</x:v>
      </x:c>
      <x:c r="R166" s="1" t="str">
        <x:v>BACKFILL_STAGE</x:v>
      </x:c>
    </x:row>
    <x:row r="167" ht="22" customHeight="1">
      <x:c r="A167" s="1" t="str">
        <x:v>TJ-A4-C02</x:v>
      </x:c>
      <x:c r="B167" s="1" t="str">
        <x:v>CYR_OVERHAND</x:v>
      </x:c>
      <x:c r="C167" s="1" t="str">
        <x:v>TJ-A4</x:v>
      </x:c>
      <x:c r="D167" s="1" t="str">
        <x:v>2</x:v>
      </x:c>
      <x:c r="E167" s="27" t="n">
        <x:v>30</x:v>
      </x:c>
      <x:c r="F167" s="27" t="n">
        <x:v>1.9416997079243892</x:v>
      </x:c>
      <x:c r="G167" s="27" t="n">
        <x:v>3.333333333333485</x:v>
      </x:c>
      <x:c r="H167" s="27"/>
      <x:c r="I167" s="27" t="n">
        <x:f>IF(OR(E167="",E167&lt;=0),"n.a.",J167/E167)</x:f>
        <x:v>6.222072884816953</x:v>
      </x:c>
      <x:c r="J167" s="27" t="n">
        <x:v>186.6621865445086</x:v>
      </x:c>
      <x:c r="K167" s="27"/>
      <x:c r="L167" s="27"/>
      <x:c r="M167" s="27" t="n">
        <x:v>2173.3333333333335</x:v>
      </x:c>
      <x:c r="N167" s="27" t="n">
        <x:v>2176.666666666667</x:v>
      </x:c>
      <x:c r="O167" s="27"/>
      <x:c r="P167" s="27"/>
      <x:c r="Q167" s="1" t="str">
        <x:v>ORE_CUT</x:v>
      </x:c>
      <x:c r="R167" s="1" t="str">
        <x:v>ORE_STOPE</x:v>
      </x:c>
    </x:row>
    <x:row r="168" ht="22" customHeight="1">
      <x:c r="A168" s="1" t="str">
        <x:v>EXC-TJ-A4-C02</x:v>
      </x:c>
      <x:c r="B168" s="1" t="str">
        <x:v>CYR_OVERHAND</x:v>
      </x:c>
      <x:c r="C168" s="1" t="str">
        <x:v>TJ-A4</x:v>
      </x:c>
      <x:c r="D168" s="1" t="str">
        <x:v>2</x:v>
      </x:c>
      <x:c r="E168" s="27" t="n">
        <x:v>30</x:v>
      </x:c>
      <x:c r="F168" s="27" t="n">
        <x:v>3.5</x:v>
      </x:c>
      <x:c r="G168" s="27" t="n">
        <x:v>3.8333333333333335</x:v>
      </x:c>
      <x:c r="H168" s="27" t="n">
        <x:v>13.041113452612203</x:v>
      </x:c>
      <x:c r="I168" s="27" t="n">
        <x:f>IF(OR(E168="",E168&lt;=0),"n.a.",J168/E168)</x:f>
        <x:v>13.032298920780885</x:v>
      </x:c>
      <x:c r="J168" s="27" t="n">
        <x:v>390.9689676234266</x:v>
      </x:c>
      <x:c r="K168" s="27" t="n">
        <x:v>186.6621865445086</x:v>
      </x:c>
      <x:c r="L168" s="27"/>
      <x:c r="M168" s="27" t="n">
        <x:v>2173.3333333333335</x:v>
      </x:c>
      <x:c r="N168" s="27" t="n">
        <x:v>2177.166666666667</x:v>
      </x:c>
      <x:c r="O168" s="27" t="n">
        <x:v>0</x:v>
      </x:c>
      <x:c r="P168" s="27"/>
      <x:c r="Q168" s="1" t="str">
        <x:v>EXCAVATION</x:v>
      </x:c>
      <x:c r="R168" s="1" t="str">
        <x:v>CYR_STAGE_EXCAVATION</x:v>
      </x:c>
    </x:row>
    <x:row r="169" ht="22" customHeight="1">
      <x:c r="A169" s="1" t="str">
        <x:v>RLL-TJ-A4-C02</x:v>
      </x:c>
      <x:c r="B169" s="1" t="str">
        <x:v>CYR_OVERHAND</x:v>
      </x:c>
      <x:c r="C169" s="1" t="str">
        <x:v>TJ-A4</x:v>
      </x:c>
      <x:c r="D169" s="1" t="str">
        <x:v>2</x:v>
      </x:c>
      <x:c r="E169" s="27" t="n">
        <x:v>30</x:v>
      </x:c>
      <x:c r="F169" s="27" t="n">
        <x:v>3.5</x:v>
      </x:c>
      <x:c r="G169" s="27" t="n">
        <x:v>2.8333333333333335</x:v>
      </x:c>
      <x:c r="H169" s="27"/>
      <x:c r="I169" s="27" t="n">
        <x:f>IF(OR(E169="",E169&lt;=0),"n.a.",J169/E169)</x:f>
        <x:v>9.916666666669252</x:v>
      </x:c>
      <x:c r="J169" s="27" t="n">
        <x:v>297.5000000000776</x:v>
      </x:c>
      <x:c r="K169" s="27"/>
      <x:c r="L169" s="27" t="n">
        <x:v>297.5000000000776</x:v>
      </x:c>
      <x:c r="M169" s="27" t="n">
        <x:v>2173.3333333333335</x:v>
      </x:c>
      <x:c r="N169" s="27" t="n">
        <x:v>2176.166666666667</x:v>
      </x:c>
      <x:c r="O169" s="27"/>
      <x:c r="P169" s="27"/>
      <x:c r="Q169" s="1" t="str">
        <x:v>FILL_CUT</x:v>
      </x:c>
      <x:c r="R169" s="1" t="str">
        <x:v>BACKFILL_STAGE</x:v>
      </x:c>
    </x:row>
    <x:row r="170" ht="22" customHeight="1">
      <x:c r="A170" s="1" t="str">
        <x:v>TJ-A4-C03</x:v>
      </x:c>
      <x:c r="B170" s="1" t="str">
        <x:v>CYR_OVERHAND</x:v>
      </x:c>
      <x:c r="C170" s="1" t="str">
        <x:v>TJ-A4</x:v>
      </x:c>
      <x:c r="D170" s="1" t="str">
        <x:v>3</x:v>
      </x:c>
      <x:c r="E170" s="27" t="n">
        <x:v>30</x:v>
      </x:c>
      <x:c r="F170" s="27" t="n">
        <x:v>1.9414848722892515</x:v>
      </x:c>
      <x:c r="G170" s="27" t="n">
        <x:v>3.333333333333485</x:v>
      </x:c>
      <x:c r="H170" s="27"/>
      <x:c r="I170" s="27" t="n">
        <x:f>IF(OR(E170="",E170&lt;=0),"n.a.",J170/E170)</x:f>
        <x:v>6.220759762295549</x:v>
      </x:c>
      <x:c r="J170" s="27" t="n">
        <x:v>186.62279286886647</x:v>
      </x:c>
      <x:c r="K170" s="27"/>
      <x:c r="L170" s="27"/>
      <x:c r="M170" s="27" t="n">
        <x:v>2176.6666666666665</x:v>
      </x:c>
      <x:c r="N170" s="27" t="n">
        <x:v>2180</x:v>
      </x:c>
      <x:c r="O170" s="27"/>
      <x:c r="P170" s="27"/>
      <x:c r="Q170" s="1" t="str">
        <x:v>ORE_CUT</x:v>
      </x:c>
      <x:c r="R170" s="1" t="str">
        <x:v>ORE_STOPE</x:v>
      </x:c>
    </x:row>
    <x:row r="171" ht="22" customHeight="1">
      <x:c r="A171" s="1" t="str">
        <x:v>EXC-TJ-A4-C03</x:v>
      </x:c>
      <x:c r="B171" s="1" t="str">
        <x:v>CYR_OVERHAND</x:v>
      </x:c>
      <x:c r="C171" s="1" t="str">
        <x:v>TJ-A4</x:v>
      </x:c>
      <x:c r="D171" s="1" t="str">
        <x:v>3</x:v>
      </x:c>
      <x:c r="E171" s="27" t="n">
        <x:v>30</x:v>
      </x:c>
      <x:c r="F171" s="27" t="n">
        <x:v>3.5</x:v>
      </x:c>
      <x:c r="G171" s="27" t="n">
        <x:v>3.8333333333333335</x:v>
      </x:c>
      <x:c r="H171" s="27" t="n">
        <x:v>13.041113452612203</x:v>
      </x:c>
      <x:c r="I171" s="27" t="n">
        <x:f>IF(OR(E171="",E171&lt;=0),"n.a.",J171/E171)</x:f>
        <x:v>13.032298920779755</x:v>
      </x:c>
      <x:c r="J171" s="27" t="n">
        <x:v>390.96896762339264</x:v>
      </x:c>
      <x:c r="K171" s="27" t="n">
        <x:v>186.62279286886647</x:v>
      </x:c>
      <x:c r="L171" s="27"/>
      <x:c r="M171" s="27" t="n">
        <x:v>2176.6666666666665</x:v>
      </x:c>
      <x:c r="N171" s="27" t="n">
        <x:v>2180.5</x:v>
      </x:c>
      <x:c r="O171" s="27" t="n">
        <x:v>0</x:v>
      </x:c>
      <x:c r="P171" s="27"/>
      <x:c r="Q171" s="1" t="str">
        <x:v>EXCAVATION</x:v>
      </x:c>
      <x:c r="R171" s="1" t="str">
        <x:v>CYR_STAGE_EXCAVATION</x:v>
      </x:c>
    </x:row>
    <x:row r="172" ht="22" customHeight="1">
      <x:c r="A172" s="1" t="str">
        <x:v>RLL-TJ-A4-C03</x:v>
      </x:c>
      <x:c r="B172" s="1" t="str">
        <x:v>CYR_OVERHAND</x:v>
      </x:c>
      <x:c r="C172" s="1" t="str">
        <x:v>TJ-A4</x:v>
      </x:c>
      <x:c r="D172" s="1" t="str">
        <x:v>3</x:v>
      </x:c>
      <x:c r="E172" s="27" t="n">
        <x:v>30</x:v>
      </x:c>
      <x:c r="F172" s="27" t="n">
        <x:v>3.5</x:v>
      </x:c>
      <x:c r="G172" s="27" t="n">
        <x:v>2.8333333333333335</x:v>
      </x:c>
      <x:c r="H172" s="27"/>
      <x:c r="I172" s="27" t="n">
        <x:f>IF(OR(E172="",E172&lt;=0),"n.a.",J172/E172)</x:f>
        <x:v>9.91666666666408</x:v>
      </x:c>
      <x:c r="J172" s="27" t="n">
        <x:v>297.4999999999224</x:v>
      </x:c>
      <x:c r="K172" s="27"/>
      <x:c r="L172" s="27" t="n">
        <x:v>297.4999999999224</x:v>
      </x:c>
      <x:c r="M172" s="27" t="n">
        <x:v>2176.6666666666665</x:v>
      </x:c>
      <x:c r="N172" s="27" t="n">
        <x:v>2179.5</x:v>
      </x:c>
      <x:c r="O172" s="27"/>
      <x:c r="P172" s="27"/>
      <x:c r="Q172" s="1" t="str">
        <x:v>FILL_CUT</x:v>
      </x:c>
      <x:c r="R172" s="1" t="str">
        <x:v>BACKFILL_STAGE</x:v>
      </x:c>
    </x:row>
    <x:row r="173" ht="22" customHeight="1">
      <x:c r="A173" s="1" t="str">
        <x:v>TJ-A4-C04</x:v>
      </x:c>
      <x:c r="B173" s="1" t="str">
        <x:v>CYR_OVERHAND</x:v>
      </x:c>
      <x:c r="C173" s="1" t="str">
        <x:v>TJ-A4</x:v>
      </x:c>
      <x:c r="D173" s="1" t="str">
        <x:v>4</x:v>
      </x:c>
      <x:c r="E173" s="27" t="n">
        <x:v>30</x:v>
      </x:c>
      <x:c r="F173" s="27" t="n">
        <x:v>1.9412700366541173</x:v>
      </x:c>
      <x:c r="G173" s="27" t="n">
        <x:v>3.333333333333485</x:v>
      </x:c>
      <x:c r="H173" s="27"/>
      <x:c r="I173" s="27" t="n">
        <x:f>IF(OR(E173="",E173&lt;=0),"n.a.",J173/E173)</x:f>
        <x:v>6.219463432642159</x:v>
      </x:c>
      <x:c r="J173" s="27" t="n">
        <x:v>186.58390297926476</x:v>
      </x:c>
      <x:c r="K173" s="27"/>
      <x:c r="L173" s="27"/>
      <x:c r="M173" s="27" t="n">
        <x:v>2180</x:v>
      </x:c>
      <x:c r="N173" s="27" t="n">
        <x:v>2183.3333333333335</x:v>
      </x:c>
      <x:c r="O173" s="27"/>
      <x:c r="P173" s="27"/>
      <x:c r="Q173" s="1" t="str">
        <x:v>ORE_CUT</x:v>
      </x:c>
      <x:c r="R173" s="1" t="str">
        <x:v>ORE_STOPE</x:v>
      </x:c>
    </x:row>
    <x:row r="174" ht="22" customHeight="1">
      <x:c r="A174" s="1" t="str">
        <x:v>EXC-TJ-A4-C04</x:v>
      </x:c>
      <x:c r="B174" s="1" t="str">
        <x:v>CYR_OVERHAND</x:v>
      </x:c>
      <x:c r="C174" s="1" t="str">
        <x:v>TJ-A4</x:v>
      </x:c>
      <x:c r="D174" s="1" t="str">
        <x:v>4</x:v>
      </x:c>
      <x:c r="E174" s="27" t="n">
        <x:v>30</x:v>
      </x:c>
      <x:c r="F174" s="27" t="n">
        <x:v>3.5</x:v>
      </x:c>
      <x:c r="G174" s="27" t="n">
        <x:v>3.8333333333333335</x:v>
      </x:c>
      <x:c r="H174" s="27" t="n">
        <x:v>13.041113452612203</x:v>
      </x:c>
      <x:c r="I174" s="27" t="n">
        <x:f>IF(OR(E174="",E174&lt;=0),"n.a.",J174/E174)</x:f>
        <x:v>13.032298920781047</x:v>
      </x:c>
      <x:c r="J174" s="27" t="n">
        <x:v>390.9689676234314</x:v>
      </x:c>
      <x:c r="K174" s="27" t="n">
        <x:v>186.58390297926476</x:v>
      </x:c>
      <x:c r="L174" s="27"/>
      <x:c r="M174" s="27" t="n">
        <x:v>2180</x:v>
      </x:c>
      <x:c r="N174" s="27" t="n">
        <x:v>2183.8333333333335</x:v>
      </x:c>
      <x:c r="O174" s="27" t="n">
        <x:v>0</x:v>
      </x:c>
      <x:c r="P174" s="27"/>
      <x:c r="Q174" s="1" t="str">
        <x:v>EXCAVATION</x:v>
      </x:c>
      <x:c r="R174" s="1" t="str">
        <x:v>CYR_STAGE_EXCAVATION</x:v>
      </x:c>
    </x:row>
    <x:row r="175" ht="22" customHeight="1">
      <x:c r="A175" s="1" t="str">
        <x:v>RLL-TJ-A4-C04</x:v>
      </x:c>
      <x:c r="B175" s="1" t="str">
        <x:v>CYR_OVERHAND</x:v>
      </x:c>
      <x:c r="C175" s="1" t="str">
        <x:v>TJ-A4</x:v>
      </x:c>
      <x:c r="D175" s="1" t="str">
        <x:v>4</x:v>
      </x:c>
      <x:c r="E175" s="27" t="n">
        <x:v>30</x:v>
      </x:c>
      <x:c r="F175" s="27" t="n">
        <x:v>3.5</x:v>
      </x:c>
      <x:c r="G175" s="27" t="n">
        <x:v>2.8333333333333335</x:v>
      </x:c>
      <x:c r="H175" s="27"/>
      <x:c r="I175" s="27" t="n">
        <x:f>IF(OR(E175="",E175&lt;=0),"n.a.",J175/E175)</x:f>
        <x:v>9.916666666665373</x:v>
      </x:c>
      <x:c r="J175" s="27" t="n">
        <x:v>297.4999999999612</x:v>
      </x:c>
      <x:c r="K175" s="27"/>
      <x:c r="L175" s="27" t="n">
        <x:v>297.4999999999612</x:v>
      </x:c>
      <x:c r="M175" s="27" t="n">
        <x:v>2180</x:v>
      </x:c>
      <x:c r="N175" s="27" t="n">
        <x:v>2182.8333333333335</x:v>
      </x:c>
      <x:c r="O175" s="27"/>
      <x:c r="P175" s="27"/>
      <x:c r="Q175" s="1" t="str">
        <x:v>FILL_CUT</x:v>
      </x:c>
      <x:c r="R175" s="1" t="str">
        <x:v>BACKFILL_STAGE</x:v>
      </x:c>
    </x:row>
    <x:row r="176" ht="22" customHeight="1">
      <x:c r="A176" s="1" t="str">
        <x:v>TJ-A4-C05</x:v>
      </x:c>
      <x:c r="B176" s="1" t="str">
        <x:v>CYR_OVERHAND</x:v>
      </x:c>
      <x:c r="C176" s="1" t="str">
        <x:v>TJ-A4</x:v>
      </x:c>
      <x:c r="D176" s="1" t="str">
        <x:v>5</x:v>
      </x:c>
      <x:c r="E176" s="27" t="n">
        <x:v>30</x:v>
      </x:c>
      <x:c r="F176" s="27" t="n">
        <x:v>1.9410552010189868</x:v>
      </x:c>
      <x:c r="G176" s="27" t="n">
        <x:v>3.333333333333485</x:v>
      </x:c>
      <x:c r="H176" s="27"/>
      <x:c r="I176" s="27" t="n">
        <x:f>IF(OR(E176="",E176&lt;=0),"n.a.",J176/E176)</x:f>
        <x:v>6.21818444910148</x:v>
      </x:c>
      <x:c r="J176" s="27" t="n">
        <x:v>186.5455334730444</x:v>
      </x:c>
      <x:c r="K176" s="27"/>
      <x:c r="L176" s="27"/>
      <x:c r="M176" s="27" t="n">
        <x:v>2183.3333333333335</x:v>
      </x:c>
      <x:c r="N176" s="27" t="n">
        <x:v>2186.666666666667</x:v>
      </x:c>
      <x:c r="O176" s="27"/>
      <x:c r="P176" s="27"/>
      <x:c r="Q176" s="1" t="str">
        <x:v>ORE_CUT</x:v>
      </x:c>
      <x:c r="R176" s="1" t="str">
        <x:v>ORE_STOPE</x:v>
      </x:c>
    </x:row>
    <x:row r="177" ht="22" customHeight="1">
      <x:c r="A177" s="1" t="str">
        <x:v>EXC-TJ-A4-C05</x:v>
      </x:c>
      <x:c r="B177" s="1" t="str">
        <x:v>CYR_OVERHAND</x:v>
      </x:c>
      <x:c r="C177" s="1" t="str">
        <x:v>TJ-A4</x:v>
      </x:c>
      <x:c r="D177" s="1" t="str">
        <x:v>5</x:v>
      </x:c>
      <x:c r="E177" s="27" t="n">
        <x:v>30</x:v>
      </x:c>
      <x:c r="F177" s="27" t="n">
        <x:v>3.5</x:v>
      </x:c>
      <x:c r="G177" s="27" t="n">
        <x:v>3.8333333333333335</x:v>
      </x:c>
      <x:c r="H177" s="27" t="n">
        <x:v>13.041113452612203</x:v>
      </x:c>
      <x:c r="I177" s="27" t="n">
        <x:f>IF(OR(E177="",E177&lt;=0),"n.a.",J177/E177)</x:f>
        <x:v>13.032298920779915</x:v>
      </x:c>
      <x:c r="J177" s="27" t="n">
        <x:v>390.9689676233975</x:v>
      </x:c>
      <x:c r="K177" s="27" t="n">
        <x:v>186.5455334730444</x:v>
      </x:c>
      <x:c r="L177" s="27"/>
      <x:c r="M177" s="27" t="n">
        <x:v>2183.3333333333335</x:v>
      </x:c>
      <x:c r="N177" s="27" t="n">
        <x:v>2187.166666666667</x:v>
      </x:c>
      <x:c r="O177" s="27" t="n">
        <x:v>0</x:v>
      </x:c>
      <x:c r="P177" s="27"/>
      <x:c r="Q177" s="1" t="str">
        <x:v>EXCAVATION</x:v>
      </x:c>
      <x:c r="R177" s="1" t="str">
        <x:v>CYR_STAGE_EXCAVATION</x:v>
      </x:c>
    </x:row>
    <x:row r="178" ht="22" customHeight="1">
      <x:c r="A178" s="1" t="str">
        <x:v>RLL-TJ-A4-C05</x:v>
      </x:c>
      <x:c r="B178" s="1" t="str">
        <x:v>CYR_OVERHAND</x:v>
      </x:c>
      <x:c r="C178" s="1" t="str">
        <x:v>TJ-A4</x:v>
      </x:c>
      <x:c r="D178" s="1" t="str">
        <x:v>5</x:v>
      </x:c>
      <x:c r="E178" s="27" t="n">
        <x:v>30</x:v>
      </x:c>
      <x:c r="F178" s="27" t="n">
        <x:v>3.5</x:v>
      </x:c>
      <x:c r="G178" s="27" t="n">
        <x:v>2.8333333333333335</x:v>
      </x:c>
      <x:c r="H178" s="27"/>
      <x:c r="I178" s="27" t="n">
        <x:f>IF(OR(E178="",E178&lt;=0),"n.a.",J178/E178)</x:f>
        <x:v>9.916666666665373</x:v>
      </x:c>
      <x:c r="J178" s="27" t="n">
        <x:v>297.4999999999612</x:v>
      </x:c>
      <x:c r="K178" s="27"/>
      <x:c r="L178" s="27" t="n">
        <x:v>297.4999999999612</x:v>
      </x:c>
      <x:c r="M178" s="27" t="n">
        <x:v>2183.3333333333335</x:v>
      </x:c>
      <x:c r="N178" s="27" t="n">
        <x:v>2186.166666666667</x:v>
      </x:c>
      <x:c r="O178" s="27"/>
      <x:c r="P178" s="27"/>
      <x:c r="Q178" s="1" t="str">
        <x:v>FILL_CUT</x:v>
      </x:c>
      <x:c r="R178" s="1" t="str">
        <x:v>BACKFILL_STAGE</x:v>
      </x:c>
    </x:row>
    <x:row r="179" ht="22" customHeight="1">
      <x:c r="A179" s="1" t="str">
        <x:v>TJ-A4-C06</x:v>
      </x:c>
      <x:c r="B179" s="1" t="str">
        <x:v>CYR_OVERHAND</x:v>
      </x:c>
      <x:c r="C179" s="1" t="str">
        <x:v>TJ-A4</x:v>
      </x:c>
      <x:c r="D179" s="1" t="str">
        <x:v>6</x:v>
      </x:c>
      <x:c r="E179" s="27" t="n">
        <x:v>30</x:v>
      </x:c>
      <x:c r="F179" s="27" t="n">
        <x:v>1.9408403653838455</x:v>
      </x:c>
      <x:c r="G179" s="27" t="n">
        <x:v>3.333333333333485</x:v>
      </x:c>
      <x:c r="H179" s="27"/>
      <x:c r="I179" s="27" t="n">
        <x:f>IF(OR(E179="",E179&lt;=0),"n.a.",J179/E179)</x:f>
        <x:v>6.216920439919381</x:v>
      </x:c>
      <x:c r="J179" s="27" t="n">
        <x:v>186.50761319758143</x:v>
      </x:c>
      <x:c r="K179" s="27"/>
      <x:c r="L179" s="27"/>
      <x:c r="M179" s="27" t="n">
        <x:v>2186.6666666666665</x:v>
      </x:c>
      <x:c r="N179" s="27" t="n">
        <x:v>2190</x:v>
      </x:c>
      <x:c r="O179" s="27"/>
      <x:c r="P179" s="27"/>
      <x:c r="Q179" s="1" t="str">
        <x:v>ORE_CUT</x:v>
      </x:c>
      <x:c r="R179" s="1" t="str">
        <x:v>ORE_STOPE</x:v>
      </x:c>
    </x:row>
    <x:row r="180" ht="22" customHeight="1">
      <x:c r="A180" s="1" t="str">
        <x:v>EXC-TJ-A4-C06</x:v>
      </x:c>
      <x:c r="B180" s="1" t="str">
        <x:v>CYR_OVERHAND</x:v>
      </x:c>
      <x:c r="C180" s="1" t="str">
        <x:v>TJ-A4</x:v>
      </x:c>
      <x:c r="D180" s="1" t="str">
        <x:v>6</x:v>
      </x:c>
      <x:c r="E180" s="27" t="n">
        <x:v>30</x:v>
      </x:c>
      <x:c r="F180" s="27" t="n">
        <x:v>3.5</x:v>
      </x:c>
      <x:c r="G180" s="27" t="n">
        <x:v>3.8333333333333335</x:v>
      </x:c>
      <x:c r="H180" s="27" t="n">
        <x:v>13.041113452612203</x:v>
      </x:c>
      <x:c r="I180" s="27" t="n">
        <x:f>IF(OR(E180="",E180&lt;=0),"n.a.",J180/E180)</x:f>
        <x:v>13.032298920781532</x:v>
      </x:c>
      <x:c r="J180" s="27" t="n">
        <x:v>390.96896762344596</x:v>
      </x:c>
      <x:c r="K180" s="27" t="n">
        <x:v>186.50761319758143</x:v>
      </x:c>
      <x:c r="L180" s="27"/>
      <x:c r="M180" s="27" t="n">
        <x:v>2186.6666666666665</x:v>
      </x:c>
      <x:c r="N180" s="27" t="n">
        <x:v>2190.5</x:v>
      </x:c>
      <x:c r="O180" s="27" t="n">
        <x:v>0</x:v>
      </x:c>
      <x:c r="P180" s="27"/>
      <x:c r="Q180" s="1" t="str">
        <x:v>EXCAVATION</x:v>
      </x:c>
      <x:c r="R180" s="1" t="str">
        <x:v>CYR_STAGE_EXCAVATION</x:v>
      </x:c>
    </x:row>
    <x:row r="181" ht="22" customHeight="1">
      <x:c r="A181" s="1" t="str">
        <x:v>RLL-TJ-A4-C06</x:v>
      </x:c>
      <x:c r="B181" s="1" t="str">
        <x:v>CYR_OVERHAND</x:v>
      </x:c>
      <x:c r="C181" s="1" t="str">
        <x:v>TJ-A4</x:v>
      </x:c>
      <x:c r="D181" s="1" t="str">
        <x:v>6</x:v>
      </x:c>
      <x:c r="E181" s="27" t="n">
        <x:v>30</x:v>
      </x:c>
      <x:c r="F181" s="27" t="n">
        <x:v>3.5</x:v>
      </x:c>
      <x:c r="G181" s="27" t="n">
        <x:v>2.8333333333333335</x:v>
      </x:c>
      <x:c r="H181" s="27"/>
      <x:c r="I181" s="27" t="n">
        <x:f>IF(OR(E181="",E181&lt;=0),"n.a.",J181/E181)</x:f>
        <x:v>9.91666666666408</x:v>
      </x:c>
      <x:c r="J181" s="27" t="n">
        <x:v>297.4999999999224</x:v>
      </x:c>
      <x:c r="K181" s="27"/>
      <x:c r="L181" s="27" t="n">
        <x:v>297.4999999999224</x:v>
      </x:c>
      <x:c r="M181" s="27" t="n">
        <x:v>2186.6666666666665</x:v>
      </x:c>
      <x:c r="N181" s="27" t="n">
        <x:v>2189.5</x:v>
      </x:c>
      <x:c r="O181" s="27"/>
      <x:c r="P181" s="27"/>
      <x:c r="Q181" s="1" t="str">
        <x:v>FILL_CUT</x:v>
      </x:c>
      <x:c r="R181" s="1" t="str">
        <x:v>BACKFILL_STAGE</x:v>
      </x:c>
    </x:row>
    <x:row r="182" ht="22" customHeight="1">
      <x:c r="A182" s="1" t="str">
        <x:v>TJ-A4-C07</x:v>
      </x:c>
      <x:c r="B182" s="1" t="str">
        <x:v>CYR_OVERHAND</x:v>
      </x:c>
      <x:c r="C182" s="1" t="str">
        <x:v>TJ-A4</x:v>
      </x:c>
      <x:c r="D182" s="1" t="str">
        <x:v>7</x:v>
      </x:c>
      <x:c r="E182" s="27" t="n">
        <x:v>30</x:v>
      </x:c>
      <x:c r="F182" s="27" t="n">
        <x:v>1.9406255297487114</x:v>
      </x:c>
      <x:c r="G182" s="27" t="n">
        <x:v>3.333333333333485</x:v>
      </x:c>
      <x:c r="H182" s="27"/>
      <x:c r="I182" s="27" t="n">
        <x:f>IF(OR(E182="",E182&lt;=0),"n.a.",J182/E182)</x:f>
        <x:v>6.215670936653138</x:v>
      </x:c>
      <x:c r="J182" s="27" t="n">
        <x:v>186.47012809959415</x:v>
      </x:c>
      <x:c r="K182" s="27"/>
      <x:c r="L182" s="27"/>
      <x:c r="M182" s="27" t="n">
        <x:v>2190</x:v>
      </x:c>
      <x:c r="N182" s="27" t="n">
        <x:v>2193.3333333333335</x:v>
      </x:c>
      <x:c r="O182" s="27"/>
      <x:c r="P182" s="27"/>
      <x:c r="Q182" s="1" t="str">
        <x:v>ORE_CUT</x:v>
      </x:c>
      <x:c r="R182" s="1" t="str">
        <x:v>ORE_STOPE</x:v>
      </x:c>
    </x:row>
    <x:row r="183" ht="22" customHeight="1">
      <x:c r="A183" s="1" t="str">
        <x:v>EXC-TJ-A4-C07</x:v>
      </x:c>
      <x:c r="B183" s="1" t="str">
        <x:v>CYR_OVERHAND</x:v>
      </x:c>
      <x:c r="C183" s="1" t="str">
        <x:v>TJ-A4</x:v>
      </x:c>
      <x:c r="D183" s="1" t="str">
        <x:v>7</x:v>
      </x:c>
      <x:c r="E183" s="27" t="n">
        <x:v>30</x:v>
      </x:c>
      <x:c r="F183" s="27" t="n">
        <x:v>3.5</x:v>
      </x:c>
      <x:c r="G183" s="27" t="n">
        <x:v>3.8333333333333335</x:v>
      </x:c>
      <x:c r="H183" s="27" t="n">
        <x:v>13.041113452612203</x:v>
      </x:c>
      <x:c r="I183" s="27" t="n">
        <x:f>IF(OR(E183="",E183&lt;=0),"n.a.",J183/E183)</x:f>
        <x:v>13.032298920778299</x:v>
      </x:c>
      <x:c r="J183" s="27" t="n">
        <x:v>390.968967623349</x:v>
      </x:c>
      <x:c r="K183" s="27" t="n">
        <x:v>186.47012809959415</x:v>
      </x:c>
      <x:c r="L183" s="27"/>
      <x:c r="M183" s="27" t="n">
        <x:v>2190</x:v>
      </x:c>
      <x:c r="N183" s="27" t="n">
        <x:v>2193.8333333333335</x:v>
      </x:c>
      <x:c r="O183" s="27" t="n">
        <x:v>0</x:v>
      </x:c>
      <x:c r="P183" s="27"/>
      <x:c r="Q183" s="1" t="str">
        <x:v>EXCAVATION</x:v>
      </x:c>
      <x:c r="R183" s="1" t="str">
        <x:v>CYR_STAGE_EXCAVATION</x:v>
      </x:c>
    </x:row>
    <x:row r="184" ht="22" customHeight="1">
      <x:c r="A184" s="1" t="str">
        <x:v>RLL-TJ-A4-C07</x:v>
      </x:c>
      <x:c r="B184" s="1" t="str">
        <x:v>CYR_OVERHAND</x:v>
      </x:c>
      <x:c r="C184" s="1" t="str">
        <x:v>TJ-A4</x:v>
      </x:c>
      <x:c r="D184" s="1" t="str">
        <x:v>7</x:v>
      </x:c>
      <x:c r="E184" s="27" t="n">
        <x:v>30</x:v>
      </x:c>
      <x:c r="F184" s="27" t="n">
        <x:v>3.5</x:v>
      </x:c>
      <x:c r="G184" s="27" t="n">
        <x:v>2.8333333333333335</x:v>
      </x:c>
      <x:c r="H184" s="27"/>
      <x:c r="I184" s="27" t="n">
        <x:f>IF(OR(E184="",E184&lt;=0),"n.a.",J184/E184)</x:f>
        <x:v>9.916666666670547</x:v>
      </x:c>
      <x:c r="J184" s="27" t="n">
        <x:v>297.5000000001164</x:v>
      </x:c>
      <x:c r="K184" s="27"/>
      <x:c r="L184" s="27" t="n">
        <x:v>297.5000000001164</x:v>
      </x:c>
      <x:c r="M184" s="27" t="n">
        <x:v>2190</x:v>
      </x:c>
      <x:c r="N184" s="27" t="n">
        <x:v>2192.8333333333335</x:v>
      </x:c>
      <x:c r="O184" s="27"/>
      <x:c r="P184" s="27"/>
      <x:c r="Q184" s="1" t="str">
        <x:v>FILL_CUT</x:v>
      </x:c>
      <x:c r="R184" s="1" t="str">
        <x:v>BACKFILL_STAGE</x:v>
      </x:c>
    </x:row>
    <x:row r="185" ht="22" customHeight="1">
      <x:c r="A185" s="1" t="str">
        <x:v>TJ-A4-C08</x:v>
      </x:c>
      <x:c r="B185" s="1" t="str">
        <x:v>CYR_OVERHAND</x:v>
      </x:c>
      <x:c r="C185" s="1" t="str">
        <x:v>TJ-A4</x:v>
      </x:c>
      <x:c r="D185" s="1" t="str">
        <x:v>8</x:v>
      </x:c>
      <x:c r="E185" s="27" t="n">
        <x:v>30</x:v>
      </x:c>
      <x:c r="F185" s="27" t="n">
        <x:v>1.9404106941135808</x:v>
      </x:c>
      <x:c r="G185" s="27" t="n">
        <x:v>3.333333333333485</x:v>
      </x:c>
      <x:c r="H185" s="27"/>
      <x:c r="I185" s="27" t="n">
        <x:f>IF(OR(E185="",E185&lt;=0),"n.a.",J185/E185)</x:f>
        <x:v>6.2144343152608705</x:v>
      </x:c>
      <x:c r="J185" s="27" t="n">
        <x:v>186.4330294578261</x:v>
      </x:c>
      <x:c r="K185" s="27"/>
      <x:c r="L185" s="27"/>
      <x:c r="M185" s="27" t="n">
        <x:v>2193.3333333333335</x:v>
      </x:c>
      <x:c r="N185" s="27" t="n">
        <x:v>2196.666666666667</x:v>
      </x:c>
      <x:c r="O185" s="27"/>
      <x:c r="P185" s="27"/>
      <x:c r="Q185" s="1" t="str">
        <x:v>ORE_CUT</x:v>
      </x:c>
      <x:c r="R185" s="1" t="str">
        <x:v>ORE_STOPE</x:v>
      </x:c>
    </x:row>
    <x:row r="186" ht="22" customHeight="1">
      <x:c r="A186" s="1" t="str">
        <x:v>EXC-TJ-A4-C08</x:v>
      </x:c>
      <x:c r="B186" s="1" t="str">
        <x:v>CYR_OVERHAND</x:v>
      </x:c>
      <x:c r="C186" s="1" t="str">
        <x:v>TJ-A4</x:v>
      </x:c>
      <x:c r="D186" s="1" t="str">
        <x:v>8</x:v>
      </x:c>
      <x:c r="E186" s="27" t="n">
        <x:v>30</x:v>
      </x:c>
      <x:c r="F186" s="27" t="n">
        <x:v>3.5</x:v>
      </x:c>
      <x:c r="G186" s="27" t="n">
        <x:v>3.8333333333333335</x:v>
      </x:c>
      <x:c r="H186" s="27" t="n">
        <x:v>13.041113452612203</x:v>
      </x:c>
      <x:c r="I186" s="27" t="n">
        <x:f>IF(OR(E186="",E186&lt;=0),"n.a.",J186/E186)</x:f>
        <x:v>13.032298920780562</x:v>
      </x:c>
      <x:c r="J186" s="27" t="n">
        <x:v>390.96896762341686</x:v>
      </x:c>
      <x:c r="K186" s="27" t="n">
        <x:v>186.4330294578261</x:v>
      </x:c>
      <x:c r="L186" s="27"/>
      <x:c r="M186" s="27" t="n">
        <x:v>2193.3333333333335</x:v>
      </x:c>
      <x:c r="N186" s="27" t="n">
        <x:v>2197.166666666667</x:v>
      </x:c>
      <x:c r="O186" s="27" t="n">
        <x:v>0</x:v>
      </x:c>
      <x:c r="P186" s="27"/>
      <x:c r="Q186" s="1" t="str">
        <x:v>EXCAVATION</x:v>
      </x:c>
      <x:c r="R186" s="1" t="str">
        <x:v>CYR_STAGE_EXCAVATION</x:v>
      </x:c>
    </x:row>
    <x:row r="187" ht="22" customHeight="1">
      <x:c r="A187" s="1" t="str">
        <x:v>RLL-TJ-A4-C08</x:v>
      </x:c>
      <x:c r="B187" s="1" t="str">
        <x:v>CYR_OVERHAND</x:v>
      </x:c>
      <x:c r="C187" s="1" t="str">
        <x:v>TJ-A4</x:v>
      </x:c>
      <x:c r="D187" s="1" t="str">
        <x:v>8</x:v>
      </x:c>
      <x:c r="E187" s="27" t="n">
        <x:v>30</x:v>
      </x:c>
      <x:c r="F187" s="27" t="n">
        <x:v>3.5</x:v>
      </x:c>
      <x:c r="G187" s="27" t="n">
        <x:v>2.8333333333333335</x:v>
      </x:c>
      <x:c r="H187" s="27"/>
      <x:c r="I187" s="27" t="n">
        <x:f>IF(OR(E187="",E187&lt;=0),"n.a.",J187/E187)</x:f>
        <x:v>9.916666666666666</x:v>
      </x:c>
      <x:c r="J187" s="27" t="n">
        <x:v>297.5</x:v>
      </x:c>
      <x:c r="K187" s="27"/>
      <x:c r="L187" s="27" t="n">
        <x:v>297.5</x:v>
      </x:c>
      <x:c r="M187" s="27" t="n">
        <x:v>2193.3333333333335</x:v>
      </x:c>
      <x:c r="N187" s="27" t="n">
        <x:v>2196.166666666667</x:v>
      </x:c>
      <x:c r="O187" s="27"/>
      <x:c r="P187" s="27"/>
      <x:c r="Q187" s="1" t="str">
        <x:v>FILL_CUT</x:v>
      </x:c>
      <x:c r="R187" s="1" t="str">
        <x:v>BACKFILL_STAGE</x:v>
      </x:c>
    </x:row>
    <x:row r="188" ht="22" customHeight="1">
      <x:c r="A188" s="1" t="str">
        <x:v>TJ-A4-C09</x:v>
      </x:c>
      <x:c r="B188" s="1" t="str">
        <x:v>CYR_OVERHAND</x:v>
      </x:c>
      <x:c r="C188" s="1" t="str">
        <x:v>TJ-A4</x:v>
      </x:c>
      <x:c r="D188" s="1" t="str">
        <x:v>9</x:v>
      </x:c>
      <x:c r="E188" s="27" t="n">
        <x:v>30</x:v>
      </x:c>
      <x:c r="F188" s="27" t="n">
        <x:v>1.9401958584784502</x:v>
      </x:c>
      <x:c r="G188" s="27" t="n">
        <x:v>3.333333333333485</x:v>
      </x:c>
      <x:c r="H188" s="27"/>
      <x:c r="I188" s="27" t="n">
        <x:f>IF(OR(E188="",E188&lt;=0),"n.a.",J188/E188)</x:f>
        <x:v>6.213212961098827</x:v>
      </x:c>
      <x:c r="J188" s="27" t="n">
        <x:v>186.3963888329648</x:v>
      </x:c>
      <x:c r="K188" s="27"/>
      <x:c r="L188" s="27"/>
      <x:c r="M188" s="27" t="n">
        <x:v>2196.6666666666665</x:v>
      </x:c>
      <x:c r="N188" s="27" t="n">
        <x:v>2200</x:v>
      </x:c>
      <x:c r="O188" s="27"/>
      <x:c r="P188" s="27"/>
      <x:c r="Q188" s="1" t="str">
        <x:v>ORE_CUT</x:v>
      </x:c>
      <x:c r="R188" s="1" t="str">
        <x:v>ORE_STOPE</x:v>
      </x:c>
    </x:row>
    <x:row r="189" ht="22" customHeight="1">
      <x:c r="A189" s="1" t="str">
        <x:v>EXC-TJ-A4-C09</x:v>
      </x:c>
      <x:c r="B189" s="1" t="str">
        <x:v>CYR_OVERHAND</x:v>
      </x:c>
      <x:c r="C189" s="1" t="str">
        <x:v>TJ-A4</x:v>
      </x:c>
      <x:c r="D189" s="1" t="str">
        <x:v>9</x:v>
      </x:c>
      <x:c r="E189" s="27" t="n">
        <x:v>30</x:v>
      </x:c>
      <x:c r="F189" s="27" t="n">
        <x:v>3.5</x:v>
      </x:c>
      <x:c r="G189" s="27" t="n">
        <x:v>3.8333333333333335</x:v>
      </x:c>
      <x:c r="H189" s="27" t="n">
        <x:v>13.041113452612203</x:v>
      </x:c>
      <x:c r="I189" s="27" t="n">
        <x:f>IF(OR(E189="",E189&lt;=0),"n.a.",J189/E189)</x:f>
        <x:v>13.032298920782502</x:v>
      </x:c>
      <x:c r="J189" s="27" t="n">
        <x:v>390.96896762347507</x:v>
      </x:c>
      <x:c r="K189" s="27" t="n">
        <x:v>186.3963888329648</x:v>
      </x:c>
      <x:c r="L189" s="27"/>
      <x:c r="M189" s="27" t="n">
        <x:v>2196.6666666666665</x:v>
      </x:c>
      <x:c r="N189" s="27" t="n">
        <x:v>2200.5</x:v>
      </x:c>
      <x:c r="O189" s="27" t="n">
        <x:v>0</x:v>
      </x:c>
      <x:c r="P189" s="27"/>
      <x:c r="Q189" s="1" t="str">
        <x:v>EXCAVATION</x:v>
      </x:c>
      <x:c r="R189" s="1" t="str">
        <x:v>CYR_STAGE_EXCAVATION</x:v>
      </x:c>
    </x:row>
    <x:row r="190" ht="22" customHeight="1">
      <x:c r="A190" s="1" t="str">
        <x:v>RLL-TJ-A4-C09</x:v>
      </x:c>
      <x:c r="B190" s="1" t="str">
        <x:v>CYR_OVERHAND</x:v>
      </x:c>
      <x:c r="C190" s="1" t="str">
        <x:v>TJ-A4</x:v>
      </x:c>
      <x:c r="D190" s="1" t="str">
        <x:v>9</x:v>
      </x:c>
      <x:c r="E190" s="27" t="n">
        <x:v>30</x:v>
      </x:c>
      <x:c r="F190" s="27" t="n">
        <x:v>3.5</x:v>
      </x:c>
      <x:c r="G190" s="27" t="n">
        <x:v>2.8333333333333335</x:v>
      </x:c>
      <x:c r="H190" s="27"/>
      <x:c r="I190" s="27" t="n">
        <x:f>IF(OR(E190="",E190&lt;=0),"n.a.",J190/E190)</x:f>
        <x:v>9.91666666666408</x:v>
      </x:c>
      <x:c r="J190" s="27" t="n">
        <x:v>297.4999999999224</x:v>
      </x:c>
      <x:c r="K190" s="27"/>
      <x:c r="L190" s="27" t="n">
        <x:v>297.4999999999224</x:v>
      </x:c>
      <x:c r="M190" s="27" t="n">
        <x:v>2196.6666666666665</x:v>
      </x:c>
      <x:c r="N190" s="27" t="n">
        <x:v>2199.5</x:v>
      </x:c>
      <x:c r="O190" s="27"/>
      <x:c r="P190" s="27"/>
      <x:c r="Q190" s="1" t="str">
        <x:v>FILL_CUT</x:v>
      </x:c>
      <x:c r="R190" s="1" t="str">
        <x:v>BACKFILL_STAGE</x:v>
      </x:c>
    </x:row>
    <x:row r="191" ht="22" customHeight="1">
      <x:c r="A191" s="1" t="str">
        <x:v>TJ-A4-C10</x:v>
      </x:c>
      <x:c r="B191" s="1" t="str">
        <x:v>CYR_OVERHAND</x:v>
      </x:c>
      <x:c r="C191" s="1" t="str">
        <x:v>TJ-A4</x:v>
      </x:c>
      <x:c r="D191" s="1" t="str">
        <x:v>10</x:v>
      </x:c>
      <x:c r="E191" s="27" t="n">
        <x:v>30</x:v>
      </x:c>
      <x:c r="F191" s="27" t="n">
        <x:v>1.939981022843309</x:v>
      </x:c>
      <x:c r="G191" s="27" t="n">
        <x:v>3.333333333333485</x:v>
      </x:c>
      <x:c r="H191" s="27"/>
      <x:c r="I191" s="27" t="n">
        <x:f>IF(OR(E191="",E191&lt;=0),"n.a.",J191/E191)</x:f>
        <x:v>6.212009901385238</x:v>
      </x:c>
      <x:c r="J191" s="27" t="n">
        <x:v>186.36029704155712</x:v>
      </x:c>
      <x:c r="K191" s="27"/>
      <x:c r="L191" s="27"/>
      <x:c r="M191" s="27" t="n">
        <x:v>2200</x:v>
      </x:c>
      <x:c r="N191" s="27" t="n">
        <x:v>2203.3333333333335</x:v>
      </x:c>
      <x:c r="O191" s="27"/>
      <x:c r="P191" s="27"/>
      <x:c r="Q191" s="1" t="str">
        <x:v>ORE_CUT</x:v>
      </x:c>
      <x:c r="R191" s="1" t="str">
        <x:v>ORE_STOPE</x:v>
      </x:c>
    </x:row>
    <x:row r="192" ht="22" customHeight="1">
      <x:c r="A192" s="1" t="str">
        <x:v>EXC-TJ-A4-C10</x:v>
      </x:c>
      <x:c r="B192" s="1" t="str">
        <x:v>CYR_OVERHAND</x:v>
      </x:c>
      <x:c r="C192" s="1" t="str">
        <x:v>TJ-A4</x:v>
      </x:c>
      <x:c r="D192" s="1" t="str">
        <x:v>10</x:v>
      </x:c>
      <x:c r="E192" s="27" t="n">
        <x:v>30</x:v>
      </x:c>
      <x:c r="F192" s="27" t="n">
        <x:v>3.5</x:v>
      </x:c>
      <x:c r="G192" s="27" t="n">
        <x:v>3.8333333333333335</x:v>
      </x:c>
      <x:c r="H192" s="27" t="n">
        <x:v>13.041113452612203</x:v>
      </x:c>
      <x:c r="I192" s="27" t="n">
        <x:f>IF(OR(E192="",E192&lt;=0),"n.a.",J192/E192)</x:f>
        <x:v>13.032298920778299</x:v>
      </x:c>
      <x:c r="J192" s="27" t="n">
        <x:v>390.968967623349</x:v>
      </x:c>
      <x:c r="K192" s="27" t="n">
        <x:v>186.36029704155712</x:v>
      </x:c>
      <x:c r="L192" s="27"/>
      <x:c r="M192" s="27" t="n">
        <x:v>2200</x:v>
      </x:c>
      <x:c r="N192" s="27" t="n">
        <x:v>2203.8333333333335</x:v>
      </x:c>
      <x:c r="O192" s="27" t="n">
        <x:v>0</x:v>
      </x:c>
      <x:c r="P192" s="27"/>
      <x:c r="Q192" s="1" t="str">
        <x:v>EXCAVATION</x:v>
      </x:c>
      <x:c r="R192" s="1" t="str">
        <x:v>CYR_STAGE_EXCAVATION</x:v>
      </x:c>
    </x:row>
    <x:row r="193" ht="22" customHeight="1">
      <x:c r="A193" s="1" t="str">
        <x:v>RLL-TJ-A4-C10</x:v>
      </x:c>
      <x:c r="B193" s="1" t="str">
        <x:v>CYR_OVERHAND</x:v>
      </x:c>
      <x:c r="C193" s="1" t="str">
        <x:v>TJ-A4</x:v>
      </x:c>
      <x:c r="D193" s="1" t="str">
        <x:v>10</x:v>
      </x:c>
      <x:c r="E193" s="27" t="n">
        <x:v>30</x:v>
      </x:c>
      <x:c r="F193" s="27" t="n">
        <x:v>3.5</x:v>
      </x:c>
      <x:c r="G193" s="27" t="n">
        <x:v>2.8333333333333335</x:v>
      </x:c>
      <x:c r="H193" s="27"/>
      <x:c r="I193" s="27" t="n">
        <x:f>IF(OR(E193="",E193&lt;=0),"n.a.",J193/E193)</x:f>
        <x:v>9.916666666670547</x:v>
      </x:c>
      <x:c r="J193" s="27" t="n">
        <x:v>297.5000000001164</x:v>
      </x:c>
      <x:c r="K193" s="27"/>
      <x:c r="L193" s="27" t="n">
        <x:v>297.5000000001164</x:v>
      </x:c>
      <x:c r="M193" s="27" t="n">
        <x:v>2200</x:v>
      </x:c>
      <x:c r="N193" s="27" t="n">
        <x:v>2202.8333333333335</x:v>
      </x:c>
      <x:c r="O193" s="27"/>
      <x:c r="P193" s="27"/>
      <x:c r="Q193" s="1" t="str">
        <x:v>FILL_CUT</x:v>
      </x:c>
      <x:c r="R193" s="1" t="str">
        <x:v>BACKFILL_STAGE</x:v>
      </x:c>
    </x:row>
    <x:row r="194" ht="22" customHeight="1">
      <x:c r="A194" s="1" t="str">
        <x:v>TJ-A4-C11</x:v>
      </x:c>
      <x:c r="B194" s="1" t="str">
        <x:v>CYR_OVERHAND</x:v>
      </x:c>
      <x:c r="C194" s="1" t="str">
        <x:v>TJ-A4</x:v>
      </x:c>
      <x:c r="D194" s="1" t="str">
        <x:v>11</x:v>
      </x:c>
      <x:c r="E194" s="27" t="n">
        <x:v>30</x:v>
      </x:c>
      <x:c r="F194" s="27" t="n">
        <x:v>1.9397661872081748</x:v>
      </x:c>
      <x:c r="G194" s="27" t="n">
        <x:v>3.333333333333485</x:v>
      </x:c>
      <x:c r="H194" s="27"/>
      <x:c r="I194" s="27" t="n">
        <x:f>IF(OR(E194="",E194&lt;=0),"n.a.",J194/E194)</x:f>
        <x:v>6.210821866816332</x:v>
      </x:c>
      <x:c r="J194" s="27" t="n">
        <x:v>186.32465600448995</x:v>
      </x:c>
      <x:c r="K194" s="27"/>
      <x:c r="L194" s="27"/>
      <x:c r="M194" s="27" t="n">
        <x:v>2203.3333333333335</x:v>
      </x:c>
      <x:c r="N194" s="27" t="n">
        <x:v>2206.666666666667</x:v>
      </x:c>
      <x:c r="O194" s="27"/>
      <x:c r="P194" s="27"/>
      <x:c r="Q194" s="1" t="str">
        <x:v>ORE_CUT</x:v>
      </x:c>
      <x:c r="R194" s="1" t="str">
        <x:v>ORE_STOPE</x:v>
      </x:c>
    </x:row>
    <x:row r="195" ht="22" customHeight="1">
      <x:c r="A195" s="1" t="str">
        <x:v>EXC-TJ-A4-C11</x:v>
      </x:c>
      <x:c r="B195" s="1" t="str">
        <x:v>CYR_OVERHAND</x:v>
      </x:c>
      <x:c r="C195" s="1" t="str">
        <x:v>TJ-A4</x:v>
      </x:c>
      <x:c r="D195" s="1" t="str">
        <x:v>11</x:v>
      </x:c>
      <x:c r="E195" s="27" t="n">
        <x:v>30</x:v>
      </x:c>
      <x:c r="F195" s="27" t="n">
        <x:v>3.5</x:v>
      </x:c>
      <x:c r="G195" s="27" t="n">
        <x:v>3.8333333333333335</x:v>
      </x:c>
      <x:c r="H195" s="27" t="n">
        <x:v>13.041113452612203</x:v>
      </x:c>
      <x:c r="I195" s="27" t="n">
        <x:f>IF(OR(E195="",E195&lt;=0),"n.a.",J195/E195)</x:f>
        <x:v>13.03229892077846</x:v>
      </x:c>
      <x:c r="J195" s="27" t="n">
        <x:v>390.9689676233538</x:v>
      </x:c>
      <x:c r="K195" s="27" t="n">
        <x:v>186.32465600448995</x:v>
      </x:c>
      <x:c r="L195" s="27"/>
      <x:c r="M195" s="27" t="n">
        <x:v>2203.3333333333335</x:v>
      </x:c>
      <x:c r="N195" s="27" t="n">
        <x:v>2207.166666666667</x:v>
      </x:c>
      <x:c r="O195" s="27" t="n">
        <x:v>0</x:v>
      </x:c>
      <x:c r="P195" s="27"/>
      <x:c r="Q195" s="1" t="str">
        <x:v>EXCAVATION</x:v>
      </x:c>
      <x:c r="R195" s="1" t="str">
        <x:v>CYR_STAGE_EXCAVATION</x:v>
      </x:c>
    </x:row>
    <x:row r="196" ht="22" customHeight="1">
      <x:c r="A196" s="1" t="str">
        <x:v>RLL-TJ-A4-C11</x:v>
      </x:c>
      <x:c r="B196" s="1" t="str">
        <x:v>CYR_OVERHAND</x:v>
      </x:c>
      <x:c r="C196" s="1" t="str">
        <x:v>TJ-A4</x:v>
      </x:c>
      <x:c r="D196" s="1" t="str">
        <x:v>11</x:v>
      </x:c>
      <x:c r="E196" s="27" t="n">
        <x:v>30</x:v>
      </x:c>
      <x:c r="F196" s="27" t="n">
        <x:v>3.5</x:v>
      </x:c>
      <x:c r="G196" s="27" t="n">
        <x:v>2.8333333333333335</x:v>
      </x:c>
      <x:c r="H196" s="27"/>
      <x:c r="I196" s="27" t="n">
        <x:f>IF(OR(E196="",E196&lt;=0),"n.a.",J196/E196)</x:f>
        <x:v>9.916666666667961</x:v>
      </x:c>
      <x:c r="J196" s="27" t="n">
        <x:v>297.5000000000388</x:v>
      </x:c>
      <x:c r="K196" s="27"/>
      <x:c r="L196" s="27" t="n">
        <x:v>297.5000000000388</x:v>
      </x:c>
      <x:c r="M196" s="27" t="n">
        <x:v>2203.3333333333335</x:v>
      </x:c>
      <x:c r="N196" s="27" t="n">
        <x:v>2206.166666666667</x:v>
      </x:c>
      <x:c r="O196" s="27"/>
      <x:c r="P196" s="27"/>
      <x:c r="Q196" s="1" t="str">
        <x:v>FILL_CUT</x:v>
      </x:c>
      <x:c r="R196" s="1" t="str">
        <x:v>BACKFILL_STAGE</x:v>
      </x:c>
    </x:row>
    <x:row r="197" ht="22" customHeight="1">
      <x:c r="A197" s="1" t="str">
        <x:v>TJ-A4-C12</x:v>
      </x:c>
      <x:c r="B197" s="1" t="str">
        <x:v>CYR_OVERHAND</x:v>
      </x:c>
      <x:c r="C197" s="1" t="str">
        <x:v>TJ-A4</x:v>
      </x:c>
      <x:c r="D197" s="1" t="str">
        <x:v>12</x:v>
      </x:c>
      <x:c r="E197" s="27" t="n">
        <x:v>30</x:v>
      </x:c>
      <x:c r="F197" s="27" t="n">
        <x:v>1.9395513515730443</x:v>
      </x:c>
      <x:c r="G197" s="27" t="n">
        <x:v>3.333333333333485</x:v>
      </x:c>
      <x:c r="H197" s="27"/>
      <x:c r="I197" s="27" t="n">
        <x:f>IF(OR(E197="",E197&lt;=0),"n.a.",J197/E197)</x:f>
        <x:v>6.209648709268974</x:v>
      </x:c>
      <x:c r="J197" s="27" t="n">
        <x:v>186.2894612780692</x:v>
      </x:c>
      <x:c r="K197" s="27"/>
      <x:c r="L197" s="27"/>
      <x:c r="M197" s="27" t="n">
        <x:v>2206.6666666666665</x:v>
      </x:c>
      <x:c r="N197" s="27" t="n">
        <x:v>2210</x:v>
      </x:c>
      <x:c r="O197" s="27"/>
      <x:c r="P197" s="27"/>
      <x:c r="Q197" s="1" t="str">
        <x:v>ORE_CUT</x:v>
      </x:c>
      <x:c r="R197" s="1" t="str">
        <x:v>ORE_STOPE</x:v>
      </x:c>
    </x:row>
    <x:row r="198" ht="22" customHeight="1">
      <x:c r="A198" s="1" t="str">
        <x:v>EXC-TJ-A4-C12</x:v>
      </x:c>
      <x:c r="B198" s="1" t="str">
        <x:v>CYR_OVERHAND</x:v>
      </x:c>
      <x:c r="C198" s="1" t="str">
        <x:v>TJ-A4</x:v>
      </x:c>
      <x:c r="D198" s="1" t="str">
        <x:v>12</x:v>
      </x:c>
      <x:c r="E198" s="27" t="n">
        <x:v>30</x:v>
      </x:c>
      <x:c r="F198" s="27" t="n">
        <x:v>3.5</x:v>
      </x:c>
      <x:c r="G198" s="27" t="n">
        <x:v>3.8333333333333335</x:v>
      </x:c>
      <x:c r="H198" s="27" t="n">
        <x:v>13.041113452612203</x:v>
      </x:c>
      <x:c r="I198" s="27" t="n">
        <x:f>IF(OR(E198="",E198&lt;=0),"n.a.",J198/E198)</x:f>
        <x:v>13.03229892078024</x:v>
      </x:c>
      <x:c r="J198" s="27" t="n">
        <x:v>390.9689676234072</x:v>
      </x:c>
      <x:c r="K198" s="27" t="n">
        <x:v>186.2894612780692</x:v>
      </x:c>
      <x:c r="L198" s="27"/>
      <x:c r="M198" s="27" t="n">
        <x:v>2206.6666666666665</x:v>
      </x:c>
      <x:c r="N198" s="27" t="n">
        <x:v>2210.5</x:v>
      </x:c>
      <x:c r="O198" s="27" t="n">
        <x:v>0</x:v>
      </x:c>
      <x:c r="P198" s="27"/>
      <x:c r="Q198" s="1" t="str">
        <x:v>EXCAVATION</x:v>
      </x:c>
      <x:c r="R198" s="1" t="str">
        <x:v>CYR_STAGE_EXCAVATION</x:v>
      </x:c>
    </x:row>
    <x:row r="199" ht="22" customHeight="1">
      <x:c r="A199" s="1" t="str">
        <x:v>RLL-TJ-A4-C12</x:v>
      </x:c>
      <x:c r="B199" s="1" t="str">
        <x:v>CYR_OVERHAND</x:v>
      </x:c>
      <x:c r="C199" s="1" t="str">
        <x:v>TJ-A4</x:v>
      </x:c>
      <x:c r="D199" s="1" t="str">
        <x:v>12</x:v>
      </x:c>
      <x:c r="E199" s="27" t="n">
        <x:v>30</x:v>
      </x:c>
      <x:c r="F199" s="27" t="n">
        <x:v>3.5</x:v>
      </x:c>
      <x:c r="G199" s="27" t="n">
        <x:v>2.8333333333333335</x:v>
      </x:c>
      <x:c r="H199" s="27"/>
      <x:c r="I199" s="27" t="n">
        <x:f>IF(OR(E199="",E199&lt;=0),"n.a.",J199/E199)</x:f>
        <x:v>9.91666666666408</x:v>
      </x:c>
      <x:c r="J199" s="27" t="n">
        <x:v>297.4999999999224</x:v>
      </x:c>
      <x:c r="K199" s="27"/>
      <x:c r="L199" s="27" t="n">
        <x:v>297.4999999999224</x:v>
      </x:c>
      <x:c r="M199" s="27" t="n">
        <x:v>2206.6666666666665</x:v>
      </x:c>
      <x:c r="N199" s="27" t="n">
        <x:v>2209.5</x:v>
      </x:c>
      <x:c r="O199" s="27"/>
      <x:c r="P199" s="27"/>
      <x:c r="Q199" s="1" t="str">
        <x:v>FILL_CUT</x:v>
      </x:c>
      <x:c r="R199" s="1" t="str">
        <x:v>BACKFILL_STAGE</x:v>
      </x:c>
    </x:row>
    <x:row r="200" ht="22" customHeight="1">
      <x:c r="A200" s="1" t="str">
        <x:v>CX-TJ-A4-RL2170</x:v>
      </x:c>
      <x:c r="B200" s="1" t="str">
        <x:v>CYR_OVERHAND</x:v>
      </x:c>
      <x:c r="C200" s="1" t="str">
        <x:v>TJ-A4</x:v>
      </x:c>
      <x:c r="D200" s="1" t="str"/>
      <x:c r="E200" s="27" t="n">
        <x:v>33.47975980743551</x:v>
      </x:c>
      <x:c r="F200" s="27" t="n">
        <x:v>3.5</x:v>
      </x:c>
      <x:c r="G200" s="27" t="n">
        <x:v>3.5</x:v>
      </x:c>
      <x:c r="H200" s="27" t="n">
        <x:v>11.874446785945535</x:v>
      </x:c>
      <x:c r="I200" s="27" t="n">
        <x:f>IF(OR(E200="",E200&lt;=0),"n.a.",J200/E200)</x:f>
        <x:v>11.862357095151282</x:v>
      </x:c>
      <x:c r="J200" s="27" t="n">
        <x:v>397.14886629569327</x:v>
      </x:c>
      <x:c r="K200" s="27"/>
      <x:c r="L200" s="27"/>
      <x:c r="M200" s="27" t="n">
        <x:v>2170</x:v>
      </x:c>
      <x:c r="N200" s="27" t="n">
        <x:v>2173.5</x:v>
      </x:c>
      <x:c r="O200" s="27" t="n">
        <x:v>0</x:v>
      </x:c>
      <x:c r="P200" s="27" t="n">
        <x:v>19.99999999997188</x:v>
      </x:c>
      <x:c r="Q200" s="1" t="str">
        <x:v>EXCAVATION</x:v>
      </x:c>
      <x:c r="R200" s="1" t="str">
        <x:v>CROSSCUT</x:v>
      </x:c>
    </x:row>
    <x:row r="201" ht="22" customHeight="1">
      <x:c r="A201" s="1" t="str">
        <x:v>CX-TJ-A4-RL2190</x:v>
      </x:c>
      <x:c r="B201" s="1" t="str">
        <x:v>CYR_OVERHAND</x:v>
      </x:c>
      <x:c r="C201" s="1" t="str">
        <x:v>TJ-A4</x:v>
      </x:c>
      <x:c r="D201" s="1" t="str"/>
      <x:c r="E201" s="27" t="n">
        <x:v>33.4797598074355</x:v>
      </x:c>
      <x:c r="F201" s="27" t="n">
        <x:v>3.5</x:v>
      </x:c>
      <x:c r="G201" s="27" t="n">
        <x:v>3.5</x:v>
      </x:c>
      <x:c r="H201" s="27" t="n">
        <x:v>11.874446785945535</x:v>
      </x:c>
      <x:c r="I201" s="27" t="n">
        <x:f>IF(OR(E201="",E201&lt;=0),"n.a.",J201/E201)</x:f>
        <x:v>11.862357095152152</x:v>
      </x:c>
      <x:c r="J201" s="27" t="n">
        <x:v>397.14886629572237</x:v>
      </x:c>
      <x:c r="K201" s="27"/>
      <x:c r="L201" s="27"/>
      <x:c r="M201" s="27" t="n">
        <x:v>2190</x:v>
      </x:c>
      <x:c r="N201" s="27" t="n">
        <x:v>2193.5</x:v>
      </x:c>
      <x:c r="O201" s="27" t="n">
        <x:v>0</x:v>
      </x:c>
      <x:c r="P201" s="27" t="n">
        <x:v>19.99999999997188</x:v>
      </x:c>
      <x:c r="Q201" s="1" t="str">
        <x:v>EXCAVATION</x:v>
      </x:c>
      <x:c r="R201" s="1" t="str">
        <x:v>CROSSCUT</x:v>
      </x:c>
    </x:row>
    <x:row r="202" ht="22" customHeight="1">
      <x:c r="A202" s="1" t="str">
        <x:v>CX-TJ-A4-RL2210</x:v>
      </x:c>
      <x:c r="B202" s="1" t="str">
        <x:v>CYR_OVERHAND</x:v>
      </x:c>
      <x:c r="C202" s="1" t="str">
        <x:v>TJ-A4</x:v>
      </x:c>
      <x:c r="D202" s="1" t="str"/>
      <x:c r="E202" s="27" t="n">
        <x:v>33.47975980743549</x:v>
      </x:c>
      <x:c r="F202" s="27" t="n">
        <x:v>3.5</x:v>
      </x:c>
      <x:c r="G202" s="27" t="n">
        <x:v>3.5</x:v>
      </x:c>
      <x:c r="H202" s="27" t="n">
        <x:v>11.874446785945535</x:v>
      </x:c>
      <x:c r="I202" s="27" t="n">
        <x:f>IF(OR(E202="",E202&lt;=0),"n.a.",J202/E202)</x:f>
        <x:v>11.86235709515172</x:v>
      </x:c>
      <x:c r="J202" s="27" t="n">
        <x:v>397.1488662957078</x:v>
      </x:c>
      <x:c r="K202" s="27"/>
      <x:c r="L202" s="27"/>
      <x:c r="M202" s="27" t="n">
        <x:v>2210</x:v>
      </x:c>
      <x:c r="N202" s="27" t="n">
        <x:v>2213.5</x:v>
      </x:c>
      <x:c r="O202" s="27" t="n">
        <x:v>0</x:v>
      </x:c>
      <x:c r="P202" s="27" t="n">
        <x:v>19.99999999997188</x:v>
      </x:c>
      <x:c r="Q202" s="1" t="str">
        <x:v>EXCAVATION</x:v>
      </x:c>
      <x:c r="R202" s="1" t="str">
        <x:v>CROSSCUT</x:v>
      </x:c>
    </x:row>
    <x:row r="203" ht="22" customHeight="1">
      <x:c r="A203" s="1" t="str">
        <x:v>TJ-B1</x:v>
      </x:c>
      <x:c r="B203" s="1" t="str">
        <x:v>SUBLEVEL_OPEN_STOPING</x:v>
      </x:c>
      <x:c r="C203" s="1" t="str">
        <x:v>TJ-B1</x:v>
      </x:c>
      <x:c r="D203" s="1" t="str"/>
      <x:c r="E203" s="27" t="n">
        <x:v>50</x:v>
      </x:c>
      <x:c r="F203" s="27" t="n">
        <x:v>1.1251413059454718</x:v>
      </x:c>
      <x:c r="G203" s="27" t="n">
        <x:v>60</x:v>
      </x:c>
      <x:c r="H203" s="27"/>
      <x:c r="I203" s="27" t="n">
        <x:f>IF(OR(E203="",E203&lt;=0),"n.a.",J203/E203)</x:f>
        <x:v>65.10716059114493</x:v>
      </x:c>
      <x:c r="J203" s="27" t="n">
        <x:v>3255.3580295572465</x:v>
      </x:c>
      <x:c r="K203" s="27"/>
      <x:c r="L203" s="27"/>
      <x:c r="M203" s="27" t="n">
        <x:v>2130</x:v>
      </x:c>
      <x:c r="N203" s="27" t="n">
        <x:v>2190</x:v>
      </x:c>
      <x:c r="O203" s="27"/>
      <x:c r="P203" s="27"/>
      <x:c r="Q203" s="1" t="str">
        <x:v>ORE_STOPE_TOTAL</x:v>
      </x:c>
      <x:c r="R203" s="1" t="str">
        <x:v>ORE_STOPE</x:v>
      </x:c>
    </x:row>
    <x:row r="204" ht="22" customHeight="1">
      <x:c r="A204" s="1" t="str">
        <x:v>PERF-TJ-B1-RL2130</x:v>
      </x:c>
      <x:c r="B204" s="1" t="str">
        <x:v>SUBLEVEL_OPEN_STOPING</x:v>
      </x:c>
      <x:c r="C204" s="1" t="str">
        <x:v>TJ-B1</x:v>
      </x:c>
      <x:c r="D204" s="1" t="str"/>
      <x:c r="E204" s="27" t="n">
        <x:v>50</x:v>
      </x:c>
      <x:c r="F204" s="27" t="n">
        <x:v>3.5</x:v>
      </x:c>
      <x:c r="G204" s="27" t="n">
        <x:v>3.5</x:v>
      </x:c>
      <x:c r="H204" s="27" t="n">
        <x:v>11.874446785945535</x:v>
      </x:c>
      <x:c r="I204" s="27" t="n">
        <x:f>IF(OR(E204="",E204&lt;=0),"n.a.",J204/E204)</x:f>
        <x:v>11.86563225411257</x:v>
      </x:c>
      <x:c r="J204" s="27" t="n">
        <x:v>593.2816127056285</x:v>
      </x:c>
      <x:c r="K204" s="27"/>
      <x:c r="L204" s="27"/>
      <x:c r="M204" s="27" t="n">
        <x:v>2130</x:v>
      </x:c>
      <x:c r="N204" s="27" t="n">
        <x:v>2133.5</x:v>
      </x:c>
      <x:c r="O204" s="27" t="n">
        <x:v>0</x:v>
      </x:c>
      <x:c r="P204" s="27"/>
      <x:c r="Q204" s="1" t="str">
        <x:v>EXCAVATION</x:v>
      </x:c>
      <x:c r="R204" s="1" t="str">
        <x:v>LONGHOLE_DRILL_OR_EXTRACTION_DRIFT</x:v>
      </x:c>
    </x:row>
    <x:row r="205" ht="22" customHeight="1">
      <x:c r="A205" s="1" t="str">
        <x:v>CX-TJ-B1-RL2130</x:v>
      </x:c>
      <x:c r="B205" s="1" t="str">
        <x:v>SUBLEVEL_OPEN_STOPING</x:v>
      </x:c>
      <x:c r="C205" s="1" t="str">
        <x:v>TJ-B1</x:v>
      </x:c>
      <x:c r="D205" s="1" t="str"/>
      <x:c r="E205" s="27" t="n">
        <x:v>33.479759807435514</x:v>
      </x:c>
      <x:c r="F205" s="27" t="n">
        <x:v>3.5</x:v>
      </x:c>
      <x:c r="G205" s="27" t="n">
        <x:v>3.5</x:v>
      </x:c>
      <x:c r="H205" s="27" t="n">
        <x:v>11.874446785945535</x:v>
      </x:c>
      <x:c r="I205" s="27" t="n">
        <x:f>IF(OR(E205="",E205&lt;=0),"n.a.",J205/E205)</x:f>
        <x:v>11.862357095151713</x:v>
      </x:c>
      <x:c r="J205" s="27" t="n">
        <x:v>397.1488662957078</x:v>
      </x:c>
      <x:c r="K205" s="27"/>
      <x:c r="L205" s="27"/>
      <x:c r="M205" s="27" t="n">
        <x:v>2130</x:v>
      </x:c>
      <x:c r="N205" s="27" t="n">
        <x:v>2133.5</x:v>
      </x:c>
      <x:c r="O205" s="27" t="n">
        <x:v>0</x:v>
      </x:c>
      <x:c r="P205" s="27" t="n">
        <x:v>19.999999999990468</x:v>
      </x:c>
      <x:c r="Q205" s="1" t="str">
        <x:v>EXCAVATION</x:v>
      </x:c>
      <x:c r="R205" s="1" t="str">
        <x:v>CROSSCUT</x:v>
      </x:c>
    </x:row>
    <x:row r="206" ht="22" customHeight="1">
      <x:c r="A206" s="1" t="str">
        <x:v>DP-2130-158</x:v>
      </x:c>
      <x:c r="B206" s="1" t="str"/>
      <x:c r="C206" s="1" t="str">
        <x:v>TJ-B1</x:v>
      </x:c>
      <x:c r="D206" s="1" t="str"/>
      <x:c r="E206" s="27" t="n">
        <x:v>5.000000000000001</x:v>
      </x:c>
      <x:c r="F206" s="27" t="n">
        <x:v>3.5</x:v>
      </x:c>
      <x:c r="G206" s="27" t="n">
        <x:v>3.5</x:v>
      </x:c>
      <x:c r="H206" s="27" t="n">
        <x:v>11.874446785945535</x:v>
      </x:c>
      <x:c r="I206" s="27" t="n">
        <x:f>IF(OR(E206="",E206&lt;=0),"n.a.",J206/E206)</x:f>
        <x:v>11.865632254116916</x:v>
      </x:c>
      <x:c r="J206" s="27" t="n">
        <x:v>59.32816127058459</x:v>
      </x:c>
      <x:c r="K206" s="27"/>
      <x:c r="L206" s="27"/>
      <x:c r="M206" s="27" t="n">
        <x:v>2130</x:v>
      </x:c>
      <x:c r="N206" s="27" t="n">
        <x:v>2133.5</x:v>
      </x:c>
      <x:c r="O206" s="27" t="n">
        <x:v>0</x:v>
      </x:c>
      <x:c r="P206" s="27"/>
      <x:c r="Q206" s="1" t="str">
        <x:v>EXCAVATION</x:v>
      </x:c>
      <x:c r="R206" s="1" t="str">
        <x:v>DRAWPOINT_LOADING_WINDOW</x:v>
      </x:c>
    </x:row>
    <x:row r="207" ht="22" customHeight="1">
      <x:c r="A207" s="1" t="str">
        <x:v>DP-2130-175</x:v>
      </x:c>
      <x:c r="B207" s="1" t="str"/>
      <x:c r="C207" s="1" t="str">
        <x:v>TJ-B1</x:v>
      </x:c>
      <x:c r="D207" s="1" t="str"/>
      <x:c r="E207" s="27" t="n">
        <x:v>5.000000000000001</x:v>
      </x:c>
      <x:c r="F207" s="27" t="n">
        <x:v>3.5</x:v>
      </x:c>
      <x:c r="G207" s="27" t="n">
        <x:v>3.5</x:v>
      </x:c>
      <x:c r="H207" s="27" t="n">
        <x:v>11.874446785945535</x:v>
      </x:c>
      <x:c r="I207" s="27" t="n">
        <x:f>IF(OR(E207="",E207&lt;=0),"n.a.",J207/E207)</x:f>
        <x:v>11.865632254110018</x:v>
      </x:c>
      <x:c r="J207" s="27" t="n">
        <x:v>59.328161270550105</x:v>
      </x:c>
      <x:c r="K207" s="27"/>
      <x:c r="L207" s="27"/>
      <x:c r="M207" s="27" t="n">
        <x:v>2130</x:v>
      </x:c>
      <x:c r="N207" s="27" t="n">
        <x:v>2133.5</x:v>
      </x:c>
      <x:c r="O207" s="27" t="n">
        <x:v>0</x:v>
      </x:c>
      <x:c r="P207" s="27"/>
      <x:c r="Q207" s="1" t="str">
        <x:v>EXCAVATION</x:v>
      </x:c>
      <x:c r="R207" s="1" t="str">
        <x:v>DRAWPOINT_LOADING_WINDOW</x:v>
      </x:c>
    </x:row>
    <x:row r="208" ht="22" customHeight="1">
      <x:c r="A208" s="1" t="str">
        <x:v>DP-2130-192</x:v>
      </x:c>
      <x:c r="B208" s="1" t="str"/>
      <x:c r="C208" s="1" t="str">
        <x:v>TJ-B1</x:v>
      </x:c>
      <x:c r="D208" s="1" t="str"/>
      <x:c r="E208" s="27" t="n">
        <x:v>5.000000000000001</x:v>
      </x:c>
      <x:c r="F208" s="27" t="n">
        <x:v>3.5</x:v>
      </x:c>
      <x:c r="G208" s="27" t="n">
        <x:v>3.5</x:v>
      </x:c>
      <x:c r="H208" s="27" t="n">
        <x:v>11.874446785945535</x:v>
      </x:c>
      <x:c r="I208" s="27" t="n">
        <x:f>IF(OR(E208="",E208&lt;=0),"n.a.",J208/E208)</x:f>
        <x:v>11.865632254116445</x:v>
      </x:c>
      <x:c r="J208" s="27" t="n">
        <x:v>59.328161270582235</x:v>
      </x:c>
      <x:c r="K208" s="27"/>
      <x:c r="L208" s="27"/>
      <x:c r="M208" s="27" t="n">
        <x:v>2130</x:v>
      </x:c>
      <x:c r="N208" s="27" t="n">
        <x:v>2133.5</x:v>
      </x:c>
      <x:c r="O208" s="27" t="n">
        <x:v>0</x:v>
      </x:c>
      <x:c r="P208" s="27"/>
      <x:c r="Q208" s="1" t="str">
        <x:v>EXCAVATION</x:v>
      </x:c>
      <x:c r="R208" s="1" t="str">
        <x:v>DRAWPOINT_LOADING_WINDOW</x:v>
      </x:c>
    </x:row>
    <x:row r="209" ht="22" customHeight="1">
      <x:c r="A209" s="1" t="str">
        <x:v>PERF-TJ-B1-RL2150</x:v>
      </x:c>
      <x:c r="B209" s="1" t="str">
        <x:v>SUBLEVEL_OPEN_STOPING</x:v>
      </x:c>
      <x:c r="C209" s="1" t="str">
        <x:v>TJ-B1</x:v>
      </x:c>
      <x:c r="D209" s="1" t="str"/>
      <x:c r="E209" s="27" t="n">
        <x:v>50</x:v>
      </x:c>
      <x:c r="F209" s="27" t="n">
        <x:v>3.5</x:v>
      </x:c>
      <x:c r="G209" s="27" t="n">
        <x:v>3.5</x:v>
      </x:c>
      <x:c r="H209" s="27" t="n">
        <x:v>11.874446785945535</x:v>
      </x:c>
      <x:c r="I209" s="27" t="n">
        <x:f>IF(OR(E209="",E209&lt;=0),"n.a.",J209/E209)</x:f>
        <x:v>11.86563225411296</x:v>
      </x:c>
      <x:c r="J209" s="27" t="n">
        <x:v>593.281612705648</x:v>
      </x:c>
      <x:c r="K209" s="27"/>
      <x:c r="L209" s="27"/>
      <x:c r="M209" s="27" t="n">
        <x:v>2150</x:v>
      </x:c>
      <x:c r="N209" s="27" t="n">
        <x:v>2153.5</x:v>
      </x:c>
      <x:c r="O209" s="27" t="n">
        <x:v>0</x:v>
      </x:c>
      <x:c r="P209" s="27"/>
      <x:c r="Q209" s="1" t="str">
        <x:v>EXCAVATION</x:v>
      </x:c>
      <x:c r="R209" s="1" t="str">
        <x:v>LONGHOLE_DRILL_OR_EXTRACTION_DRIFT</x:v>
      </x:c>
    </x:row>
    <x:row r="210" ht="22" customHeight="1">
      <x:c r="A210" s="1" t="str">
        <x:v>CX-TJ-B1-RL2150</x:v>
      </x:c>
      <x:c r="B210" s="1" t="str">
        <x:v>SUBLEVEL_OPEN_STOPING</x:v>
      </x:c>
      <x:c r="C210" s="1" t="str">
        <x:v>TJ-B1</x:v>
      </x:c>
      <x:c r="D210" s="1" t="str"/>
      <x:c r="E210" s="27" t="n">
        <x:v>33.47975980743551</x:v>
      </x:c>
      <x:c r="F210" s="27" t="n">
        <x:v>3.5</x:v>
      </x:c>
      <x:c r="G210" s="27" t="n">
        <x:v>3.5</x:v>
      </x:c>
      <x:c r="H210" s="27" t="n">
        <x:v>11.874446785945535</x:v>
      </x:c>
      <x:c r="I210" s="27" t="n">
        <x:f>IF(OR(E210="",E210&lt;=0),"n.a.",J210/E210)</x:f>
        <x:v>11.862357095152294</x:v>
      </x:c>
      <x:c r="J210" s="27" t="n">
        <x:v>397.1488662957272</x:v>
      </x:c>
      <x:c r="K210" s="27"/>
      <x:c r="L210" s="27"/>
      <x:c r="M210" s="27" t="n">
        <x:v>2150</x:v>
      </x:c>
      <x:c r="N210" s="27" t="n">
        <x:v>2153.5</x:v>
      </x:c>
      <x:c r="O210" s="27" t="n">
        <x:v>0</x:v>
      </x:c>
      <x:c r="P210" s="27" t="n">
        <x:v>19.999999999990163</x:v>
      </x:c>
      <x:c r="Q210" s="1" t="str">
        <x:v>EXCAVATION</x:v>
      </x:c>
      <x:c r="R210" s="1" t="str">
        <x:v>CROSSCUT</x:v>
      </x:c>
    </x:row>
    <x:row r="211" ht="22" customHeight="1">
      <x:c r="A211" s="1" t="str">
        <x:v>DP-2150-158</x:v>
      </x:c>
      <x:c r="B211" s="1" t="str"/>
      <x:c r="C211" s="1" t="str">
        <x:v>TJ-B1</x:v>
      </x:c>
      <x:c r="D211" s="1" t="str"/>
      <x:c r="E211" s="27" t="n">
        <x:v>5</x:v>
      </x:c>
      <x:c r="F211" s="27" t="n">
        <x:v>3.5</x:v>
      </x:c>
      <x:c r="G211" s="27" t="n">
        <x:v>3.5</x:v>
      </x:c>
      <x:c r="H211" s="27" t="n">
        <x:v>11.874446785945535</x:v>
      </x:c>
      <x:c r="I211" s="27" t="n">
        <x:f>IF(OR(E211="",E211&lt;=0),"n.a.",J211/E211)</x:f>
        <x:v>11.865632254112636</x:v>
      </x:c>
      <x:c r="J211" s="27" t="n">
        <x:v>59.32816127056318</x:v>
      </x:c>
      <x:c r="K211" s="27"/>
      <x:c r="L211" s="27"/>
      <x:c r="M211" s="27" t="n">
        <x:v>2150</x:v>
      </x:c>
      <x:c r="N211" s="27" t="n">
        <x:v>2153.5</x:v>
      </x:c>
      <x:c r="O211" s="27" t="n">
        <x:v>0</x:v>
      </x:c>
      <x:c r="P211" s="27"/>
      <x:c r="Q211" s="1" t="str">
        <x:v>EXCAVATION</x:v>
      </x:c>
      <x:c r="R211" s="1" t="str">
        <x:v>DRAWPOINT_LOADING_WINDOW</x:v>
      </x:c>
    </x:row>
    <x:row r="212" ht="22" customHeight="1">
      <x:c r="A212" s="1" t="str">
        <x:v>DP-2150-175</x:v>
      </x:c>
      <x:c r="B212" s="1" t="str"/>
      <x:c r="C212" s="1" t="str">
        <x:v>TJ-B1</x:v>
      </x:c>
      <x:c r="D212" s="1" t="str"/>
      <x:c r="E212" s="27" t="n">
        <x:v>5</x:v>
      </x:c>
      <x:c r="F212" s="27" t="n">
        <x:v>3.5</x:v>
      </x:c>
      <x:c r="G212" s="27" t="n">
        <x:v>3.5</x:v>
      </x:c>
      <x:c r="H212" s="27" t="n">
        <x:v>11.874446785945535</x:v>
      </x:c>
      <x:c r="I212" s="27" t="n">
        <x:f>IF(OR(E212="",E212&lt;=0),"n.a.",J212/E212)</x:f>
        <x:v>11.865632254110892</x:v>
      </x:c>
      <x:c r="J212" s="27" t="n">
        <x:v>59.32816127055446</x:v>
      </x:c>
      <x:c r="K212" s="27"/>
      <x:c r="L212" s="27"/>
      <x:c r="M212" s="27" t="n">
        <x:v>2150</x:v>
      </x:c>
      <x:c r="N212" s="27" t="n">
        <x:v>2153.5</x:v>
      </x:c>
      <x:c r="O212" s="27" t="n">
        <x:v>0</x:v>
      </x:c>
      <x:c r="P212" s="27"/>
      <x:c r="Q212" s="1" t="str">
        <x:v>EXCAVATION</x:v>
      </x:c>
      <x:c r="R212" s="1" t="str">
        <x:v>DRAWPOINT_LOADING_WINDOW</x:v>
      </x:c>
    </x:row>
    <x:row r="213" ht="22" customHeight="1">
      <x:c r="A213" s="1" t="str">
        <x:v>DP-2150-192</x:v>
      </x:c>
      <x:c r="B213" s="1" t="str"/>
      <x:c r="C213" s="1" t="str">
        <x:v>TJ-B1</x:v>
      </x:c>
      <x:c r="D213" s="1" t="str"/>
      <x:c r="E213" s="27" t="n">
        <x:v>5</x:v>
      </x:c>
      <x:c r="F213" s="27" t="n">
        <x:v>3.5</x:v>
      </x:c>
      <x:c r="G213" s="27" t="n">
        <x:v>3.5</x:v>
      </x:c>
      <x:c r="H213" s="27" t="n">
        <x:v>11.874446785945535</x:v>
      </x:c>
      <x:c r="I213" s="27" t="n">
        <x:f>IF(OR(E213="",E213&lt;=0),"n.a.",J213/E213)</x:f>
        <x:v>11.865632254114015</x:v>
      </x:c>
      <x:c r="J213" s="27" t="n">
        <x:v>59.32816127057007</x:v>
      </x:c>
      <x:c r="K213" s="27"/>
      <x:c r="L213" s="27"/>
      <x:c r="M213" s="27" t="n">
        <x:v>2150</x:v>
      </x:c>
      <x:c r="N213" s="27" t="n">
        <x:v>2153.5</x:v>
      </x:c>
      <x:c r="O213" s="27" t="n">
        <x:v>0</x:v>
      </x:c>
      <x:c r="P213" s="27"/>
      <x:c r="Q213" s="1" t="str">
        <x:v>EXCAVATION</x:v>
      </x:c>
      <x:c r="R213" s="1" t="str">
        <x:v>DRAWPOINT_LOADING_WINDOW</x:v>
      </x:c>
    </x:row>
    <x:row r="214" ht="22" customHeight="1">
      <x:c r="A214" s="1" t="str">
        <x:v>PERF-TJ-B1-RL2170</x:v>
      </x:c>
      <x:c r="B214" s="1" t="str">
        <x:v>SUBLEVEL_OPEN_STOPING</x:v>
      </x:c>
      <x:c r="C214" s="1" t="str">
        <x:v>TJ-B1</x:v>
      </x:c>
      <x:c r="D214" s="1" t="str"/>
      <x:c r="E214" s="27" t="n">
        <x:v>50</x:v>
      </x:c>
      <x:c r="F214" s="27" t="n">
        <x:v>3.5</x:v>
      </x:c>
      <x:c r="G214" s="27" t="n">
        <x:v>3.5</x:v>
      </x:c>
      <x:c r="H214" s="27" t="n">
        <x:v>11.874446785945535</x:v>
      </x:c>
      <x:c r="I214" s="27" t="n">
        <x:f>IF(OR(E214="",E214&lt;=0),"n.a.",J214/E214)</x:f>
        <x:v>11.86563225411325</x:v>
      </x:c>
      <x:c r="J214" s="27" t="n">
        <x:v>593.2816127056625</x:v>
      </x:c>
      <x:c r="K214" s="27"/>
      <x:c r="L214" s="27"/>
      <x:c r="M214" s="27" t="n">
        <x:v>2170</x:v>
      </x:c>
      <x:c r="N214" s="27" t="n">
        <x:v>2173.5</x:v>
      </x:c>
      <x:c r="O214" s="27" t="n">
        <x:v>0</x:v>
      </x:c>
      <x:c r="P214" s="27"/>
      <x:c r="Q214" s="1" t="str">
        <x:v>EXCAVATION</x:v>
      </x:c>
      <x:c r="R214" s="1" t="str">
        <x:v>LONGHOLE_DRILL_OR_EXTRACTION_DRIFT</x:v>
      </x:c>
    </x:row>
    <x:row r="215" ht="22" customHeight="1">
      <x:c r="A215" s="1" t="str">
        <x:v>CX-TJ-B1-RL2170</x:v>
      </x:c>
      <x:c r="B215" s="1" t="str">
        <x:v>SUBLEVEL_OPEN_STOPING</x:v>
      </x:c>
      <x:c r="C215" s="1" t="str">
        <x:v>TJ-B1</x:v>
      </x:c>
      <x:c r="D215" s="1" t="str"/>
      <x:c r="E215" s="27" t="n">
        <x:v>33.479759807435514</x:v>
      </x:c>
      <x:c r="F215" s="27" t="n">
        <x:v>3.5</x:v>
      </x:c>
      <x:c r="G215" s="27" t="n">
        <x:v>3.5</x:v>
      </x:c>
      <x:c r="H215" s="27" t="n">
        <x:v>11.874446785945535</x:v>
      </x:c>
      <x:c r="I215" s="27" t="n">
        <x:f>IF(OR(E215="",E215&lt;=0),"n.a.",J215/E215)</x:f>
        <x:v>11.862357095151422</x:v>
      </x:c>
      <x:c r="J215" s="27" t="n">
        <x:v>397.1488662956981</x:v>
      </x:c>
      <x:c r="K215" s="27"/>
      <x:c r="L215" s="27"/>
      <x:c r="M215" s="27" t="n">
        <x:v>2170</x:v>
      </x:c>
      <x:c r="N215" s="27" t="n">
        <x:v>2173.5</x:v>
      </x:c>
      <x:c r="O215" s="27" t="n">
        <x:v>0</x:v>
      </x:c>
      <x:c r="P215" s="27" t="n">
        <x:v>19.999999999989804</x:v>
      </x:c>
      <x:c r="Q215" s="1" t="str">
        <x:v>EXCAVATION</x:v>
      </x:c>
      <x:c r="R215" s="1" t="str">
        <x:v>CROSSCUT</x:v>
      </x:c>
    </x:row>
    <x:row r="216" ht="22" customHeight="1">
      <x:c r="A216" s="1" t="str">
        <x:v>DP-2170-158</x:v>
      </x:c>
      <x:c r="B216" s="1" t="str"/>
      <x:c r="C216" s="1" t="str">
        <x:v>TJ-B1</x:v>
      </x:c>
      <x:c r="D216" s="1" t="str"/>
      <x:c r="E216" s="27" t="n">
        <x:v>4.999999999999998</x:v>
      </x:c>
      <x:c r="F216" s="27" t="n">
        <x:v>3.5</x:v>
      </x:c>
      <x:c r="G216" s="27" t="n">
        <x:v>3.5</x:v>
      </x:c>
      <x:c r="H216" s="27" t="n">
        <x:v>11.874446785945535</x:v>
      </x:c>
      <x:c r="I216" s="27" t="n">
        <x:f>IF(OR(E216="",E216&lt;=0),"n.a.",J216/E216)</x:f>
        <x:v>11.865632254110775</x:v>
      </x:c>
      <x:c r="J216" s="27" t="n">
        <x:v>59.328161270553856</x:v>
      </x:c>
      <x:c r="K216" s="27"/>
      <x:c r="L216" s="27"/>
      <x:c r="M216" s="27" t="n">
        <x:v>2170</x:v>
      </x:c>
      <x:c r="N216" s="27" t="n">
        <x:v>2173.5</x:v>
      </x:c>
      <x:c r="O216" s="27" t="n">
        <x:v>0</x:v>
      </x:c>
      <x:c r="P216" s="27"/>
      <x:c r="Q216" s="1" t="str">
        <x:v>EXCAVATION</x:v>
      </x:c>
      <x:c r="R216" s="1" t="str">
        <x:v>DRAWPOINT_LOADING_WINDOW</x:v>
      </x:c>
    </x:row>
    <x:row r="217" ht="22" customHeight="1">
      <x:c r="A217" s="1" t="str">
        <x:v>DP-2170-175</x:v>
      </x:c>
      <x:c r="B217" s="1" t="str"/>
      <x:c r="C217" s="1" t="str">
        <x:v>TJ-B1</x:v>
      </x:c>
      <x:c r="D217" s="1" t="str"/>
      <x:c r="E217" s="27" t="n">
        <x:v>4.999999999999998</x:v>
      </x:c>
      <x:c r="F217" s="27" t="n">
        <x:v>3.5</x:v>
      </x:c>
      <x:c r="G217" s="27" t="n">
        <x:v>3.5</x:v>
      </x:c>
      <x:c r="H217" s="27" t="n">
        <x:v>11.874446785945535</x:v>
      </x:c>
      <x:c r="I217" s="27" t="n">
        <x:f>IF(OR(E217="",E217&lt;=0),"n.a.",J217/E217)</x:f>
        <x:v>11.865632254110935</x:v>
      </x:c>
      <x:c r="J217" s="27" t="n">
        <x:v>59.32816127055465</x:v>
      </x:c>
      <x:c r="K217" s="27"/>
      <x:c r="L217" s="27"/>
      <x:c r="M217" s="27" t="n">
        <x:v>2170</x:v>
      </x:c>
      <x:c r="N217" s="27" t="n">
        <x:v>2173.5</x:v>
      </x:c>
      <x:c r="O217" s="27" t="n">
        <x:v>0</x:v>
      </x:c>
      <x:c r="P217" s="27"/>
      <x:c r="Q217" s="1" t="str">
        <x:v>EXCAVATION</x:v>
      </x:c>
      <x:c r="R217" s="1" t="str">
        <x:v>DRAWPOINT_LOADING_WINDOW</x:v>
      </x:c>
    </x:row>
    <x:row r="218" ht="22" customHeight="1">
      <x:c r="A218" s="1" t="str">
        <x:v>DP-2170-192</x:v>
      </x:c>
      <x:c r="B218" s="1" t="str"/>
      <x:c r="C218" s="1" t="str">
        <x:v>TJ-B1</x:v>
      </x:c>
      <x:c r="D218" s="1" t="str"/>
      <x:c r="E218" s="27" t="n">
        <x:v>4.999999999999998</x:v>
      </x:c>
      <x:c r="F218" s="27" t="n">
        <x:v>3.5</x:v>
      </x:c>
      <x:c r="G218" s="27" t="n">
        <x:v>3.5</x:v>
      </x:c>
      <x:c r="H218" s="27" t="n">
        <x:v>11.874446785945535</x:v>
      </x:c>
      <x:c r="I218" s="27" t="n">
        <x:f>IF(OR(E218="",E218&lt;=0),"n.a.",J218/E218)</x:f>
        <x:v>11.865632254115436</x:v>
      </x:c>
      <x:c r="J218" s="27" t="n">
        <x:v>59.32816127057716</x:v>
      </x:c>
      <x:c r="K218" s="27"/>
      <x:c r="L218" s="27"/>
      <x:c r="M218" s="27" t="n">
        <x:v>2170</x:v>
      </x:c>
      <x:c r="N218" s="27" t="n">
        <x:v>2173.5</x:v>
      </x:c>
      <x:c r="O218" s="27" t="n">
        <x:v>0</x:v>
      </x:c>
      <x:c r="P218" s="27"/>
      <x:c r="Q218" s="1" t="str">
        <x:v>EXCAVATION</x:v>
      </x:c>
      <x:c r="R218" s="1" t="str">
        <x:v>DRAWPOINT_LOADING_WINDOW</x:v>
      </x:c>
    </x:row>
    <x:row r="219" ht="22" customHeight="1">
      <x:c r="A219" s="1" t="str">
        <x:v>PERF-TJ-B1-RL2190</x:v>
      </x:c>
      <x:c r="B219" s="1" t="str">
        <x:v>SUBLEVEL_OPEN_STOPING</x:v>
      </x:c>
      <x:c r="C219" s="1" t="str">
        <x:v>TJ-B1</x:v>
      </x:c>
      <x:c r="D219" s="1" t="str"/>
      <x:c r="E219" s="27" t="n">
        <x:v>50</x:v>
      </x:c>
      <x:c r="F219" s="27" t="n">
        <x:v>3.5</x:v>
      </x:c>
      <x:c r="G219" s="27" t="n">
        <x:v>3.5</x:v>
      </x:c>
      <x:c r="H219" s="27" t="n">
        <x:v>11.874446785945535</x:v>
      </x:c>
      <x:c r="I219" s="27" t="n">
        <x:f>IF(OR(E219="",E219&lt;=0),"n.a.",J219/E219)</x:f>
        <x:v>11.865632254113152</x:v>
      </x:c>
      <x:c r="J219" s="27" t="n">
        <x:v>593.2816127056576</x:v>
      </x:c>
      <x:c r="K219" s="27"/>
      <x:c r="L219" s="27"/>
      <x:c r="M219" s="27" t="n">
        <x:v>2190</x:v>
      </x:c>
      <x:c r="N219" s="27" t="n">
        <x:v>2193.5</x:v>
      </x:c>
      <x:c r="O219" s="27" t="n">
        <x:v>0</x:v>
      </x:c>
      <x:c r="P219" s="27"/>
      <x:c r="Q219" s="1" t="str">
        <x:v>EXCAVATION</x:v>
      </x:c>
      <x:c r="R219" s="1" t="str">
        <x:v>LONGHOLE_DRILL_OR_EXTRACTION_DRIFT</x:v>
      </x:c>
    </x:row>
    <x:row r="220" ht="22" customHeight="1">
      <x:c r="A220" s="1" t="str">
        <x:v>CX-TJ-B1-RL2190</x:v>
      </x:c>
      <x:c r="B220" s="1" t="str">
        <x:v>SUBLEVEL_OPEN_STOPING</x:v>
      </x:c>
      <x:c r="C220" s="1" t="str">
        <x:v>TJ-B1</x:v>
      </x:c>
      <x:c r="D220" s="1" t="str"/>
      <x:c r="E220" s="27" t="n">
        <x:v>33.479759807435514</x:v>
      </x:c>
      <x:c r="F220" s="27" t="n">
        <x:v>3.5</x:v>
      </x:c>
      <x:c r="G220" s="27" t="n">
        <x:v>3.5</x:v>
      </x:c>
      <x:c r="H220" s="27" t="n">
        <x:v>11.874446785945535</x:v>
      </x:c>
      <x:c r="I220" s="27" t="n">
        <x:f>IF(OR(E220="",E220&lt;=0),"n.a.",J220/E220)</x:f>
        <x:v>11.862357095151422</x:v>
      </x:c>
      <x:c r="J220" s="27" t="n">
        <x:v>397.1488662956981</x:v>
      </x:c>
      <x:c r="K220" s="27"/>
      <x:c r="L220" s="27"/>
      <x:c r="M220" s="27" t="n">
        <x:v>2190</x:v>
      </x:c>
      <x:c r="N220" s="27" t="n">
        <x:v>2193.5</x:v>
      </x:c>
      <x:c r="O220" s="27" t="n">
        <x:v>0</x:v>
      </x:c>
      <x:c r="P220" s="27" t="n">
        <x:v>19.999999999989804</x:v>
      </x:c>
      <x:c r="Q220" s="1" t="str">
        <x:v>EXCAVATION</x:v>
      </x:c>
      <x:c r="R220" s="1" t="str">
        <x:v>CROSSCUT</x:v>
      </x:c>
    </x:row>
    <x:row r="221" ht="22" customHeight="1">
      <x:c r="A221" s="1" t="str">
        <x:v>DP-2190-158</x:v>
      </x:c>
      <x:c r="B221" s="1" t="str"/>
      <x:c r="C221" s="1" t="str">
        <x:v>TJ-B1</x:v>
      </x:c>
      <x:c r="D221" s="1" t="str"/>
      <x:c r="E221" s="27" t="n">
        <x:v>5</x:v>
      </x:c>
      <x:c r="F221" s="27" t="n">
        <x:v>3.5</x:v>
      </x:c>
      <x:c r="G221" s="27" t="n">
        <x:v>3.5</x:v>
      </x:c>
      <x:c r="H221" s="27" t="n">
        <x:v>11.874446785945535</x:v>
      </x:c>
      <x:c r="I221" s="27" t="n">
        <x:f>IF(OR(E221="",E221&lt;=0),"n.a.",J221/E221)</x:f>
        <x:v>11.865632254110892</x:v>
      </x:c>
      <x:c r="J221" s="27" t="n">
        <x:v>59.32816127055446</x:v>
      </x:c>
      <x:c r="K221" s="27"/>
      <x:c r="L221" s="27"/>
      <x:c r="M221" s="27" t="n">
        <x:v>2190</x:v>
      </x:c>
      <x:c r="N221" s="27" t="n">
        <x:v>2193.5</x:v>
      </x:c>
      <x:c r="O221" s="27" t="n">
        <x:v>0</x:v>
      </x:c>
      <x:c r="P221" s="27"/>
      <x:c r="Q221" s="1" t="str">
        <x:v>EXCAVATION</x:v>
      </x:c>
      <x:c r="R221" s="1" t="str">
        <x:v>DRAWPOINT_LOADING_WINDOW</x:v>
      </x:c>
    </x:row>
    <x:row r="222" ht="22" customHeight="1">
      <x:c r="A222" s="1" t="str">
        <x:v>DP-2190-175</x:v>
      </x:c>
      <x:c r="B222" s="1" t="str"/>
      <x:c r="C222" s="1" t="str">
        <x:v>TJ-B1</x:v>
      </x:c>
      <x:c r="D222" s="1" t="str"/>
      <x:c r="E222" s="27" t="n">
        <x:v>5</x:v>
      </x:c>
      <x:c r="F222" s="27" t="n">
        <x:v>3.5</x:v>
      </x:c>
      <x:c r="G222" s="27" t="n">
        <x:v>3.5</x:v>
      </x:c>
      <x:c r="H222" s="27" t="n">
        <x:v>11.874446785945535</x:v>
      </x:c>
      <x:c r="I222" s="27" t="n">
        <x:f>IF(OR(E222="",E222&lt;=0),"n.a.",J222/E222)</x:f>
        <x:v>11.86563225411275</x:v>
      </x:c>
      <x:c r="J222" s="27" t="n">
        <x:v>59.32816127056375</x:v>
      </x:c>
      <x:c r="K222" s="27"/>
      <x:c r="L222" s="27"/>
      <x:c r="M222" s="27" t="n">
        <x:v>2190</x:v>
      </x:c>
      <x:c r="N222" s="27" t="n">
        <x:v>2193.5</x:v>
      </x:c>
      <x:c r="O222" s="27" t="n">
        <x:v>0</x:v>
      </x:c>
      <x:c r="P222" s="27"/>
      <x:c r="Q222" s="1" t="str">
        <x:v>EXCAVATION</x:v>
      </x:c>
      <x:c r="R222" s="1" t="str">
        <x:v>DRAWPOINT_LOADING_WINDOW</x:v>
      </x:c>
    </x:row>
    <x:row r="223" ht="22" customHeight="1">
      <x:c r="A223" s="1" t="str">
        <x:v>DP-2190-192</x:v>
      </x:c>
      <x:c r="B223" s="1" t="str"/>
      <x:c r="C223" s="1" t="str">
        <x:v>TJ-B1</x:v>
      </x:c>
      <x:c r="D223" s="1" t="str"/>
      <x:c r="E223" s="27" t="n">
        <x:v>5</x:v>
      </x:c>
      <x:c r="F223" s="27" t="n">
        <x:v>3.5</x:v>
      </x:c>
      <x:c r="G223" s="27" t="n">
        <x:v>3.5</x:v>
      </x:c>
      <x:c r="H223" s="27" t="n">
        <x:v>11.874446785945535</x:v>
      </x:c>
      <x:c r="I223" s="27" t="n">
        <x:f>IF(OR(E223="",E223&lt;=0),"n.a.",J223/E223)</x:f>
        <x:v>11.865632254112954</x:v>
      </x:c>
      <x:c r="J223" s="27" t="n">
        <x:v>59.32816127056477</x:v>
      </x:c>
      <x:c r="K223" s="27"/>
      <x:c r="L223" s="27"/>
      <x:c r="M223" s="27" t="n">
        <x:v>2190</x:v>
      </x:c>
      <x:c r="N223" s="27" t="n">
        <x:v>2193.5</x:v>
      </x:c>
      <x:c r="O223" s="27" t="n">
        <x:v>0</x:v>
      </x:c>
      <x:c r="P223" s="27"/>
      <x:c r="Q223" s="1" t="str">
        <x:v>EXCAVATION</x:v>
      </x:c>
      <x:c r="R223" s="1" t="str">
        <x:v>DRAWPOINT_LOADING_WINDOW</x:v>
      </x:c>
    </x:row>
    <x:row r="224" ht="22" customHeight="1">
      <x:c r="A224" s="1" t="str">
        <x:v>RLL-TJ-B1</x:v>
      </x:c>
      <x:c r="B224" s="1" t="str">
        <x:v>SUBLEVEL_OPEN_STOPING</x:v>
      </x:c>
      <x:c r="C224" s="1" t="str">
        <x:v>TJ-B1</x:v>
      </x:c>
      <x:c r="D224" s="1" t="str">
        <x:v>POST_EXTRACTION</x:v>
      </x:c>
      <x:c r="E224" s="27" t="n">
        <x:v>50</x:v>
      </x:c>
      <x:c r="F224" s="27" t="n">
        <x:v>1.1251413059454718</x:v>
      </x:c>
      <x:c r="G224" s="27" t="n">
        <x:v>59.5</x:v>
      </x:c>
      <x:c r="H224" s="27"/>
      <x:c r="I224" s="27" t="n">
        <x:f>IF(OR(E224="",E224&lt;=0),"n.a.",J224/E224)</x:f>
        <x:v>64.57199995763214</x:v>
      </x:c>
      <x:c r="J224" s="27" t="n">
        <x:v>3228.599997881607</x:v>
      </x:c>
      <x:c r="K224" s="27"/>
      <x:c r="L224" s="27" t="n">
        <x:v>3228.599997881607</x:v>
      </x:c>
      <x:c r="M224" s="27" t="n">
        <x:v>2130</x:v>
      </x:c>
      <x:c r="N224" s="27" t="n">
        <x:v>2189.5</x:v>
      </x:c>
      <x:c r="O224" s="27"/>
      <x:c r="P224" s="27"/>
      <x:c r="Q224" s="1" t="str">
        <x:v>FILL_CUT</x:v>
      </x:c>
      <x:c r="R224" s="1" t="str">
        <x:v>LONGHOLE_BACKFILL_AFTER_EXTRACTION</x:v>
      </x:c>
    </x:row>
    <x:row r="225" ht="22" customHeight="1">
      <x:c r="A225" s="1" t="str">
        <x:v>TJ-C1</x:v>
      </x:c>
      <x:c r="B225" s="1" t="str">
        <x:v>CYR_OVERHAND</x:v>
      </x:c>
      <x:c r="C225" s="1" t="str">
        <x:v>TJ-C1</x:v>
      </x:c>
      <x:c r="D225" s="1" t="str"/>
      <x:c r="E225" s="27" t="n">
        <x:v>40</x:v>
      </x:c>
      <x:c r="F225" s="27" t="n">
        <x:v>1.1472135906661625</x:v>
      </x:c>
      <x:c r="G225" s="27" t="n">
        <x:v>40</x:v>
      </x:c>
      <x:c r="H225" s="27"/>
      <x:c r="I225" s="27" t="n">
        <x:f>IF(OR(E225="",E225&lt;=0),"n.a.",J225/E225)</x:f>
        <x:v>44.314779608654746</x:v>
      </x:c>
      <x:c r="J225" s="27" t="n">
        <x:v>1772.5911843461897</x:v>
      </x:c>
      <x:c r="K225" s="27"/>
      <x:c r="L225" s="27"/>
      <x:c r="M225" s="27" t="n">
        <x:v>2130</x:v>
      </x:c>
      <x:c r="N225" s="27" t="n">
        <x:v>2170</x:v>
      </x:c>
      <x:c r="O225" s="27"/>
      <x:c r="P225" s="27"/>
      <x:c r="Q225" s="1" t="str">
        <x:v>ORE_STOPE_TOTAL</x:v>
      </x:c>
      <x:c r="R225" s="1" t="str">
        <x:v>ORE_STOPE</x:v>
      </x:c>
    </x:row>
    <x:row r="226" ht="22" customHeight="1">
      <x:c r="A226" s="1" t="str">
        <x:v>TJ-C1-C01</x:v>
      </x:c>
      <x:c r="B226" s="1" t="str">
        <x:v>CYR_OVERHAND</x:v>
      </x:c>
      <x:c r="C226" s="1" t="str">
        <x:v>TJ-C1</x:v>
      </x:c>
      <x:c r="D226" s="1" t="str">
        <x:v>1</x:v>
      </x:c>
      <x:c r="E226" s="27" t="n">
        <x:v>40</x:v>
      </x:c>
      <x:c r="F226" s="27" t="n">
        <x:v>1.1472135906661625</x:v>
      </x:c>
      <x:c r="G226" s="27" t="n">
        <x:v>3.333333333333485</x:v>
      </x:c>
      <x:c r="H226" s="27"/>
      <x:c r="I226" s="27" t="n">
        <x:f>IF(OR(E226="",E226&lt;=0),"n.a.",J226/E226)</x:f>
        <x:v>3.7228317873703114</x:v>
      </x:c>
      <x:c r="J226" s="27" t="n">
        <x:v>148.91327149481245</x:v>
      </x:c>
      <x:c r="K226" s="27"/>
      <x:c r="L226" s="27"/>
      <x:c r="M226" s="27" t="n">
        <x:v>2130</x:v>
      </x:c>
      <x:c r="N226" s="27" t="n">
        <x:v>2133.3333333333335</x:v>
      </x:c>
      <x:c r="O226" s="27"/>
      <x:c r="P226" s="27"/>
      <x:c r="Q226" s="1" t="str">
        <x:v>ORE_CUT</x:v>
      </x:c>
      <x:c r="R226" s="1" t="str">
        <x:v>ORE_STOPE</x:v>
      </x:c>
    </x:row>
    <x:row r="227" ht="22" customHeight="1">
      <x:c r="A227" s="1" t="str">
        <x:v>EXC-TJ-C1-C01</x:v>
      </x:c>
      <x:c r="B227" s="1" t="str">
        <x:v>CYR_OVERHAND</x:v>
      </x:c>
      <x:c r="C227" s="1" t="str">
        <x:v>TJ-C1</x:v>
      </x:c>
      <x:c r="D227" s="1" t="str">
        <x:v>1</x:v>
      </x:c>
      <x:c r="E227" s="27" t="n">
        <x:v>40</x:v>
      </x:c>
      <x:c r="F227" s="27" t="n">
        <x:v>3.5</x:v>
      </x:c>
      <x:c r="G227" s="27" t="n">
        <x:v>3.8333333333333335</x:v>
      </x:c>
      <x:c r="H227" s="27" t="n">
        <x:v>13.041113452612203</x:v>
      </x:c>
      <x:c r="I227" s="27" t="n">
        <x:f>IF(OR(E227="",E227&lt;=0),"n.a.",J227/E227)</x:f>
        <x:v>13.032298920779189</x:v>
      </x:c>
      <x:c r="J227" s="27" t="n">
        <x:v>521.2919568311676</x:v>
      </x:c>
      <x:c r="K227" s="27" t="n">
        <x:v>148.91327149481245</x:v>
      </x:c>
      <x:c r="L227" s="27"/>
      <x:c r="M227" s="27" t="n">
        <x:v>2130</x:v>
      </x:c>
      <x:c r="N227" s="27" t="n">
        <x:v>2133.8333333333335</x:v>
      </x:c>
      <x:c r="O227" s="27" t="n">
        <x:v>0</x:v>
      </x:c>
      <x:c r="P227" s="27"/>
      <x:c r="Q227" s="1" t="str">
        <x:v>EXCAVATION</x:v>
      </x:c>
      <x:c r="R227" s="1" t="str">
        <x:v>CYR_STAGE_EXCAVATION</x:v>
      </x:c>
    </x:row>
    <x:row r="228" ht="22" customHeight="1">
      <x:c r="A228" s="1" t="str">
        <x:v>RLL-TJ-C1-C01</x:v>
      </x:c>
      <x:c r="B228" s="1" t="str">
        <x:v>CYR_OVERHAND</x:v>
      </x:c>
      <x:c r="C228" s="1" t="str">
        <x:v>TJ-C1</x:v>
      </x:c>
      <x:c r="D228" s="1" t="str">
        <x:v>1</x:v>
      </x:c>
      <x:c r="E228" s="27" t="n">
        <x:v>40</x:v>
      </x:c>
      <x:c r="F228" s="27" t="n">
        <x:v>3.5</x:v>
      </x:c>
      <x:c r="G228" s="27" t="n">
        <x:v>2.8333333333333335</x:v>
      </x:c>
      <x:c r="H228" s="27"/>
      <x:c r="I228" s="27" t="n">
        <x:f>IF(OR(E228="",E228&lt;=0),"n.a.",J228/E228)</x:f>
        <x:v>9.916666666667636</x:v>
      </x:c>
      <x:c r="J228" s="27" t="n">
        <x:v>396.66666666670545</x:v>
      </x:c>
      <x:c r="K228" s="27"/>
      <x:c r="L228" s="27" t="n">
        <x:v>396.66666666670545</x:v>
      </x:c>
      <x:c r="M228" s="27" t="n">
        <x:v>2130</x:v>
      </x:c>
      <x:c r="N228" s="27" t="n">
        <x:v>2132.8333333333335</x:v>
      </x:c>
      <x:c r="O228" s="27"/>
      <x:c r="P228" s="27"/>
      <x:c r="Q228" s="1" t="str">
        <x:v>FILL_CUT</x:v>
      </x:c>
      <x:c r="R228" s="1" t="str">
        <x:v>BACKFILL_STAGE</x:v>
      </x:c>
    </x:row>
    <x:row r="229" ht="22" customHeight="1">
      <x:c r="A229" s="1" t="str">
        <x:v>TJ-C1-C02</x:v>
      </x:c>
      <x:c r="B229" s="1" t="str">
        <x:v>CYR_OVERHAND</x:v>
      </x:c>
      <x:c r="C229" s="1" t="str">
        <x:v>TJ-C1</x:v>
      </x:c>
      <x:c r="D229" s="1" t="str">
        <x:v>2</x:v>
      </x:c>
      <x:c r="E229" s="27" t="n">
        <x:v>40</x:v>
      </x:c>
      <x:c r="F229" s="27" t="n">
        <x:v>1.1456226793921909</x:v>
      </x:c>
      <x:c r="G229" s="27" t="n">
        <x:v>3.333333333333485</x:v>
      </x:c>
      <x:c r="H229" s="27"/>
      <x:c r="I229" s="27" t="n">
        <x:f>IF(OR(E229="",E229&lt;=0),"n.a.",J229/E229)</x:f>
        <x:v>3.717384104260236</x:v>
      </x:c>
      <x:c r="J229" s="27" t="n">
        <x:v>148.69536417040945</x:v>
      </x:c>
      <x:c r="K229" s="27"/>
      <x:c r="L229" s="27"/>
      <x:c r="M229" s="27" t="n">
        <x:v>2133.3333333333335</x:v>
      </x:c>
      <x:c r="N229" s="27" t="n">
        <x:v>2136.666666666667</x:v>
      </x:c>
      <x:c r="O229" s="27"/>
      <x:c r="P229" s="27"/>
      <x:c r="Q229" s="1" t="str">
        <x:v>ORE_CUT</x:v>
      </x:c>
      <x:c r="R229" s="1" t="str">
        <x:v>ORE_STOPE</x:v>
      </x:c>
    </x:row>
    <x:row r="230" ht="22" customHeight="1">
      <x:c r="A230" s="1" t="str">
        <x:v>EXC-TJ-C1-C02</x:v>
      </x:c>
      <x:c r="B230" s="1" t="str">
        <x:v>CYR_OVERHAND</x:v>
      </x:c>
      <x:c r="C230" s="1" t="str">
        <x:v>TJ-C1</x:v>
      </x:c>
      <x:c r="D230" s="1" t="str">
        <x:v>2</x:v>
      </x:c>
      <x:c r="E230" s="27" t="n">
        <x:v>40</x:v>
      </x:c>
      <x:c r="F230" s="27" t="n">
        <x:v>3.5</x:v>
      </x:c>
      <x:c r="G230" s="27" t="n">
        <x:v>3.8333333333333335</x:v>
      </x:c>
      <x:c r="H230" s="27" t="n">
        <x:v>13.041113452612203</x:v>
      </x:c>
      <x:c r="I230" s="27" t="n">
        <x:f>IF(OR(E230="",E230&lt;=0),"n.a.",J230/E230)</x:f>
        <x:v>13.032298920779308</x:v>
      </x:c>
      <x:c r="J230" s="27" t="n">
        <x:v>521.2919568311723</x:v>
      </x:c>
      <x:c r="K230" s="27" t="n">
        <x:v>148.69536417040945</x:v>
      </x:c>
      <x:c r="L230" s="27"/>
      <x:c r="M230" s="27" t="n">
        <x:v>2133.3333333333335</x:v>
      </x:c>
      <x:c r="N230" s="27" t="n">
        <x:v>2137.166666666667</x:v>
      </x:c>
      <x:c r="O230" s="27" t="n">
        <x:v>0</x:v>
      </x:c>
      <x:c r="P230" s="27"/>
      <x:c r="Q230" s="1" t="str">
        <x:v>EXCAVATION</x:v>
      </x:c>
      <x:c r="R230" s="1" t="str">
        <x:v>CYR_STAGE_EXCAVATION</x:v>
      </x:c>
    </x:row>
    <x:row r="231" ht="22" customHeight="1">
      <x:c r="A231" s="1" t="str">
        <x:v>RLL-TJ-C1-C02</x:v>
      </x:c>
      <x:c r="B231" s="1" t="str">
        <x:v>CYR_OVERHAND</x:v>
      </x:c>
      <x:c r="C231" s="1" t="str">
        <x:v>TJ-C1</x:v>
      </x:c>
      <x:c r="D231" s="1" t="str">
        <x:v>2</x:v>
      </x:c>
      <x:c r="E231" s="27" t="n">
        <x:v>40</x:v>
      </x:c>
      <x:c r="F231" s="27" t="n">
        <x:v>3.5</x:v>
      </x:c>
      <x:c r="G231" s="27" t="n">
        <x:v>2.8333333333333335</x:v>
      </x:c>
      <x:c r="H231" s="27"/>
      <x:c r="I231" s="27" t="n">
        <x:f>IF(OR(E231="",E231&lt;=0),"n.a.",J231/E231)</x:f>
        <x:v>9.916666666664726</x:v>
      </x:c>
      <x:c r="J231" s="27" t="n">
        <x:v>396.66666666658904</x:v>
      </x:c>
      <x:c r="K231" s="27"/>
      <x:c r="L231" s="27" t="n">
        <x:v>396.66666666658904</x:v>
      </x:c>
      <x:c r="M231" s="27" t="n">
        <x:v>2133.3333333333335</x:v>
      </x:c>
      <x:c r="N231" s="27" t="n">
        <x:v>2136.166666666667</x:v>
      </x:c>
      <x:c r="O231" s="27"/>
      <x:c r="P231" s="27"/>
      <x:c r="Q231" s="1" t="str">
        <x:v>FILL_CUT</x:v>
      </x:c>
      <x:c r="R231" s="1" t="str">
        <x:v>BACKFILL_STAGE</x:v>
      </x:c>
    </x:row>
    <x:row r="232" ht="22" customHeight="1">
      <x:c r="A232" s="1" t="str">
        <x:v>TJ-C1-C03</x:v>
      </x:c>
      <x:c r="B232" s="1" t="str">
        <x:v>CYR_OVERHAND</x:v>
      </x:c>
      <x:c r="C232" s="1" t="str">
        <x:v>TJ-C1</x:v>
      </x:c>
      <x:c r="D232" s="1" t="str">
        <x:v>3</x:v>
      </x:c>
      <x:c r="E232" s="27" t="n">
        <x:v>40</x:v>
      </x:c>
      <x:c r="F232" s="27" t="n">
        <x:v>1.1440317681182197</x:v>
      </x:c>
      <x:c r="G232" s="27" t="n">
        <x:v>3.333333333333485</x:v>
      </x:c>
      <x:c r="H232" s="27"/>
      <x:c r="I232" s="27" t="n">
        <x:f>IF(OR(E232="",E232&lt;=0),"n.a.",J232/E232)</x:f>
        <x:v>3.711939035074738</x:v>
      </x:c>
      <x:c r="J232" s="27" t="n">
        <x:v>148.47756140298952</x:v>
      </x:c>
      <x:c r="K232" s="27"/>
      <x:c r="L232" s="27"/>
      <x:c r="M232" s="27" t="n">
        <x:v>2136.6666666666665</x:v>
      </x:c>
      <x:c r="N232" s="27" t="n">
        <x:v>2140</x:v>
      </x:c>
      <x:c r="O232" s="27"/>
      <x:c r="P232" s="27"/>
      <x:c r="Q232" s="1" t="str">
        <x:v>ORE_CUT</x:v>
      </x:c>
      <x:c r="R232" s="1" t="str">
        <x:v>ORE_STOPE</x:v>
      </x:c>
    </x:row>
    <x:row r="233" ht="22" customHeight="1">
      <x:c r="A233" s="1" t="str">
        <x:v>EXC-TJ-C1-C03</x:v>
      </x:c>
      <x:c r="B233" s="1" t="str">
        <x:v>CYR_OVERHAND</x:v>
      </x:c>
      <x:c r="C233" s="1" t="str">
        <x:v>TJ-C1</x:v>
      </x:c>
      <x:c r="D233" s="1" t="str">
        <x:v>3</x:v>
      </x:c>
      <x:c r="E233" s="27" t="n">
        <x:v>40</x:v>
      </x:c>
      <x:c r="F233" s="27" t="n">
        <x:v>3.5</x:v>
      </x:c>
      <x:c r="G233" s="27" t="n">
        <x:v>3.8333333333333335</x:v>
      </x:c>
      <x:c r="H233" s="27" t="n">
        <x:v>13.041113452612203</x:v>
      </x:c>
      <x:c r="I233" s="27" t="n">
        <x:f>IF(OR(E233="",E233&lt;=0),"n.a.",J233/E233)</x:f>
        <x:v>13.0322989207804</x:v>
      </x:c>
      <x:c r="J233" s="27" t="n">
        <x:v>521.291956831216</x:v>
      </x:c>
      <x:c r="K233" s="27" t="n">
        <x:v>148.47756140298952</x:v>
      </x:c>
      <x:c r="L233" s="27"/>
      <x:c r="M233" s="27" t="n">
        <x:v>2136.6666666666665</x:v>
      </x:c>
      <x:c r="N233" s="27" t="n">
        <x:v>2140.5</x:v>
      </x:c>
      <x:c r="O233" s="27" t="n">
        <x:v>0</x:v>
      </x:c>
      <x:c r="P233" s="27"/>
      <x:c r="Q233" s="1" t="str">
        <x:v>EXCAVATION</x:v>
      </x:c>
      <x:c r="R233" s="1" t="str">
        <x:v>CYR_STAGE_EXCAVATION</x:v>
      </x:c>
    </x:row>
    <x:row r="234" ht="22" customHeight="1">
      <x:c r="A234" s="1" t="str">
        <x:v>RLL-TJ-C1-C03</x:v>
      </x:c>
      <x:c r="B234" s="1" t="str">
        <x:v>CYR_OVERHAND</x:v>
      </x:c>
      <x:c r="C234" s="1" t="str">
        <x:v>TJ-C1</x:v>
      </x:c>
      <x:c r="D234" s="1" t="str">
        <x:v>3</x:v>
      </x:c>
      <x:c r="E234" s="27" t="n">
        <x:v>40</x:v>
      </x:c>
      <x:c r="F234" s="27" t="n">
        <x:v>3.5</x:v>
      </x:c>
      <x:c r="G234" s="27" t="n">
        <x:v>2.8333333333333335</x:v>
      </x:c>
      <x:c r="H234" s="27"/>
      <x:c r="I234" s="27" t="n">
        <x:f>IF(OR(E234="",E234&lt;=0),"n.a.",J234/E234)</x:f>
        <x:v>9.916666666667636</x:v>
      </x:c>
      <x:c r="J234" s="27" t="n">
        <x:v>396.66666666670545</x:v>
      </x:c>
      <x:c r="K234" s="27"/>
      <x:c r="L234" s="27" t="n">
        <x:v>396.66666666670545</x:v>
      </x:c>
      <x:c r="M234" s="27" t="n">
        <x:v>2136.6666666666665</x:v>
      </x:c>
      <x:c r="N234" s="27" t="n">
        <x:v>2139.5</x:v>
      </x:c>
      <x:c r="O234" s="27"/>
      <x:c r="P234" s="27"/>
      <x:c r="Q234" s="1" t="str">
        <x:v>FILL_CUT</x:v>
      </x:c>
      <x:c r="R234" s="1" t="str">
        <x:v>BACKFILL_STAGE</x:v>
      </x:c>
    </x:row>
    <x:row r="235" ht="22" customHeight="1">
      <x:c r="A235" s="1" t="str">
        <x:v>TJ-C1-C04</x:v>
      </x:c>
      <x:c r="B235" s="1" t="str">
        <x:v>CYR_OVERHAND</x:v>
      </x:c>
      <x:c r="C235" s="1" t="str">
        <x:v>TJ-C1</x:v>
      </x:c>
      <x:c r="D235" s="1" t="str">
        <x:v>4</x:v>
      </x:c>
      <x:c r="E235" s="27" t="n">
        <x:v>40</x:v>
      </x:c>
      <x:c r="F235" s="27" t="n">
        <x:v>1.1424408568442477</x:v>
      </x:c>
      <x:c r="G235" s="27" t="n">
        <x:v>3.333333333333485</x:v>
      </x:c>
      <x:c r="H235" s="27"/>
      <x:c r="I235" s="27" t="n">
        <x:f>IF(OR(E235="",E235&lt;=0),"n.a.",J235/E235)</x:f>
        <x:v>3.7064947197480853</x:v>
      </x:c>
      <x:c r="J235" s="27" t="n">
        <x:v>148.25978878992342</x:v>
      </x:c>
      <x:c r="K235" s="27"/>
      <x:c r="L235" s="27"/>
      <x:c r="M235" s="27" t="n">
        <x:v>2140</x:v>
      </x:c>
      <x:c r="N235" s="27" t="n">
        <x:v>2143.3333333333335</x:v>
      </x:c>
      <x:c r="O235" s="27"/>
      <x:c r="P235" s="27"/>
      <x:c r="Q235" s="1" t="str">
        <x:v>ORE_CUT</x:v>
      </x:c>
      <x:c r="R235" s="1" t="str">
        <x:v>ORE_STOPE</x:v>
      </x:c>
    </x:row>
    <x:row r="236" ht="22" customHeight="1">
      <x:c r="A236" s="1" t="str">
        <x:v>EXC-TJ-C1-C04</x:v>
      </x:c>
      <x:c r="B236" s="1" t="str">
        <x:v>CYR_OVERHAND</x:v>
      </x:c>
      <x:c r="C236" s="1" t="str">
        <x:v>TJ-C1</x:v>
      </x:c>
      <x:c r="D236" s="1" t="str">
        <x:v>4</x:v>
      </x:c>
      <x:c r="E236" s="27" t="n">
        <x:v>40</x:v>
      </x:c>
      <x:c r="F236" s="27" t="n">
        <x:v>3.5</x:v>
      </x:c>
      <x:c r="G236" s="27" t="n">
        <x:v>3.8333333333333335</x:v>
      </x:c>
      <x:c r="H236" s="27" t="n">
        <x:v>13.041113452612203</x:v>
      </x:c>
      <x:c r="I236" s="27" t="n">
        <x:f>IF(OR(E236="",E236&lt;=0),"n.a.",J236/E236)</x:f>
        <x:v>13.032298920778945</x:v>
      </x:c>
      <x:c r="J236" s="27" t="n">
        <x:v>521.2919568311578</x:v>
      </x:c>
      <x:c r="K236" s="27" t="n">
        <x:v>148.25978878992342</x:v>
      </x:c>
      <x:c r="L236" s="27"/>
      <x:c r="M236" s="27" t="n">
        <x:v>2140</x:v>
      </x:c>
      <x:c r="N236" s="27" t="n">
        <x:v>2143.8333333333335</x:v>
      </x:c>
      <x:c r="O236" s="27" t="n">
        <x:v>0</x:v>
      </x:c>
      <x:c r="P236" s="27"/>
      <x:c r="Q236" s="1" t="str">
        <x:v>EXCAVATION</x:v>
      </x:c>
      <x:c r="R236" s="1" t="str">
        <x:v>CYR_STAGE_EXCAVATION</x:v>
      </x:c>
    </x:row>
    <x:row r="237" ht="22" customHeight="1">
      <x:c r="A237" s="1" t="str">
        <x:v>RLL-TJ-C1-C04</x:v>
      </x:c>
      <x:c r="B237" s="1" t="str">
        <x:v>CYR_OVERHAND</x:v>
      </x:c>
      <x:c r="C237" s="1" t="str">
        <x:v>TJ-C1</x:v>
      </x:c>
      <x:c r="D237" s="1" t="str">
        <x:v>4</x:v>
      </x:c>
      <x:c r="E237" s="27" t="n">
        <x:v>40</x:v>
      </x:c>
      <x:c r="F237" s="27" t="n">
        <x:v>3.5</x:v>
      </x:c>
      <x:c r="G237" s="27" t="n">
        <x:v>2.8333333333333335</x:v>
      </x:c>
      <x:c r="H237" s="27"/>
      <x:c r="I237" s="27" t="n">
        <x:f>IF(OR(E237="",E237&lt;=0),"n.a.",J237/E237)</x:f>
        <x:v>9.916666666663756</x:v>
      </x:c>
      <x:c r="J237" s="27" t="n">
        <x:v>396.66666666655027</x:v>
      </x:c>
      <x:c r="K237" s="27"/>
      <x:c r="L237" s="27" t="n">
        <x:v>396.66666666655027</x:v>
      </x:c>
      <x:c r="M237" s="27" t="n">
        <x:v>2140</x:v>
      </x:c>
      <x:c r="N237" s="27" t="n">
        <x:v>2142.8333333333335</x:v>
      </x:c>
      <x:c r="O237" s="27"/>
      <x:c r="P237" s="27"/>
      <x:c r="Q237" s="1" t="str">
        <x:v>FILL_CUT</x:v>
      </x:c>
      <x:c r="R237" s="1" t="str">
        <x:v>BACKFILL_STAGE</x:v>
      </x:c>
    </x:row>
    <x:row r="238" ht="22" customHeight="1">
      <x:c r="A238" s="1" t="str">
        <x:v>TJ-C1-C05</x:v>
      </x:c>
      <x:c r="B238" s="1" t="str">
        <x:v>CYR_OVERHAND</x:v>
      </x:c>
      <x:c r="C238" s="1" t="str">
        <x:v>TJ-C1</x:v>
      </x:c>
      <x:c r="D238" s="1" t="str">
        <x:v>5</x:v>
      </x:c>
      <x:c r="E238" s="27" t="n">
        <x:v>40</x:v>
      </x:c>
      <x:c r="F238" s="27" t="n">
        <x:v>1.1408499455702765</x:v>
      </x:c>
      <x:c r="G238" s="27" t="n">
        <x:v>3.333333333333485</x:v>
      </x:c>
      <x:c r="H238" s="27"/>
      <x:c r="I238" s="27" t="n">
        <x:f>IF(OR(E238="",E238&lt;=0),"n.a.",J238/E238)</x:f>
        <x:v>3.7010507790709504</x:v>
      </x:c>
      <x:c r="J238" s="27" t="n">
        <x:v>148.04203116283801</x:v>
      </x:c>
      <x:c r="K238" s="27"/>
      <x:c r="L238" s="27"/>
      <x:c r="M238" s="27" t="n">
        <x:v>2143.3333333333335</x:v>
      </x:c>
      <x:c r="N238" s="27" t="n">
        <x:v>2146.666666666667</x:v>
      </x:c>
      <x:c r="O238" s="27"/>
      <x:c r="P238" s="27"/>
      <x:c r="Q238" s="1" t="str">
        <x:v>ORE_CUT</x:v>
      </x:c>
      <x:c r="R238" s="1" t="str">
        <x:v>ORE_STOPE</x:v>
      </x:c>
    </x:row>
    <x:row r="239" ht="22" customHeight="1">
      <x:c r="A239" s="1" t="str">
        <x:v>EXC-TJ-C1-C05</x:v>
      </x:c>
      <x:c r="B239" s="1" t="str">
        <x:v>CYR_OVERHAND</x:v>
      </x:c>
      <x:c r="C239" s="1" t="str">
        <x:v>TJ-C1</x:v>
      </x:c>
      <x:c r="D239" s="1" t="str">
        <x:v>5</x:v>
      </x:c>
      <x:c r="E239" s="27" t="n">
        <x:v>40</x:v>
      </x:c>
      <x:c r="F239" s="27" t="n">
        <x:v>3.5</x:v>
      </x:c>
      <x:c r="G239" s="27" t="n">
        <x:v>3.8333333333333335</x:v>
      </x:c>
      <x:c r="H239" s="27" t="n">
        <x:v>13.041113452612203</x:v>
      </x:c>
      <x:c r="I239" s="27" t="n">
        <x:f>IF(OR(E239="",E239&lt;=0),"n.a.",J239/E239)</x:f>
        <x:v>13.032298920780159</x:v>
      </x:c>
      <x:c r="J239" s="27" t="n">
        <x:v>521.2919568312063</x:v>
      </x:c>
      <x:c r="K239" s="27" t="n">
        <x:v>148.04203116283801</x:v>
      </x:c>
      <x:c r="L239" s="27"/>
      <x:c r="M239" s="27" t="n">
        <x:v>2143.3333333333335</x:v>
      </x:c>
      <x:c r="N239" s="27" t="n">
        <x:v>2147.166666666667</x:v>
      </x:c>
      <x:c r="O239" s="27" t="n">
        <x:v>0</x:v>
      </x:c>
      <x:c r="P239" s="27"/>
      <x:c r="Q239" s="1" t="str">
        <x:v>EXCAVATION</x:v>
      </x:c>
      <x:c r="R239" s="1" t="str">
        <x:v>CYR_STAGE_EXCAVATION</x:v>
      </x:c>
    </x:row>
    <x:row r="240" ht="22" customHeight="1">
      <x:c r="A240" s="1" t="str">
        <x:v>RLL-TJ-C1-C05</x:v>
      </x:c>
      <x:c r="B240" s="1" t="str">
        <x:v>CYR_OVERHAND</x:v>
      </x:c>
      <x:c r="C240" s="1" t="str">
        <x:v>TJ-C1</x:v>
      </x:c>
      <x:c r="D240" s="1" t="str">
        <x:v>5</x:v>
      </x:c>
      <x:c r="E240" s="27" t="n">
        <x:v>40</x:v>
      </x:c>
      <x:c r="F240" s="27" t="n">
        <x:v>3.5</x:v>
      </x:c>
      <x:c r="G240" s="27" t="n">
        <x:v>2.8333333333333335</x:v>
      </x:c>
      <x:c r="H240" s="27"/>
      <x:c r="I240" s="27" t="n">
        <x:f>IF(OR(E240="",E240&lt;=0),"n.a.",J240/E240)</x:f>
        <x:v>9.916666666666668</x:v>
      </x:c>
      <x:c r="J240" s="27" t="n">
        <x:v>396.6666666666667</x:v>
      </x:c>
      <x:c r="K240" s="27"/>
      <x:c r="L240" s="27" t="n">
        <x:v>396.6666666666667</x:v>
      </x:c>
      <x:c r="M240" s="27" t="n">
        <x:v>2143.3333333333335</x:v>
      </x:c>
      <x:c r="N240" s="27" t="n">
        <x:v>2146.166666666667</x:v>
      </x:c>
      <x:c r="O240" s="27"/>
      <x:c r="P240" s="27"/>
      <x:c r="Q240" s="1" t="str">
        <x:v>FILL_CUT</x:v>
      </x:c>
      <x:c r="R240" s="1" t="str">
        <x:v>BACKFILL_STAGE</x:v>
      </x:c>
    </x:row>
    <x:row r="241" ht="22" customHeight="1">
      <x:c r="A241" s="1" t="str">
        <x:v>TJ-C1-C06</x:v>
      </x:c>
      <x:c r="B241" s="1" t="str">
        <x:v>CYR_OVERHAND</x:v>
      </x:c>
      <x:c r="C241" s="1" t="str">
        <x:v>TJ-C1</x:v>
      </x:c>
      <x:c r="D241" s="1" t="str">
        <x:v>6</x:v>
      </x:c>
      <x:c r="E241" s="27" t="n">
        <x:v>40</x:v>
      </x:c>
      <x:c r="F241" s="27" t="n">
        <x:v>1.1392590342963071</x:v>
      </x:c>
      <x:c r="G241" s="27" t="n">
        <x:v>3.333333333333485</x:v>
      </x:c>
      <x:c r="H241" s="27"/>
      <x:c r="I241" s="27" t="n">
        <x:f>IF(OR(E241="",E241&lt;=0),"n.a.",J241/E241)</x:f>
        <x:v>3.695608748703065</x:v>
      </x:c>
      <x:c r="J241" s="27" t="n">
        <x:v>147.8243499481226</x:v>
      </x:c>
      <x:c r="K241" s="27"/>
      <x:c r="L241" s="27"/>
      <x:c r="M241" s="27" t="n">
        <x:v>2146.6666666666665</x:v>
      </x:c>
      <x:c r="N241" s="27" t="n">
        <x:v>2150</x:v>
      </x:c>
      <x:c r="O241" s="27"/>
      <x:c r="P241" s="27"/>
      <x:c r="Q241" s="1" t="str">
        <x:v>ORE_CUT</x:v>
      </x:c>
      <x:c r="R241" s="1" t="str">
        <x:v>ORE_STOPE</x:v>
      </x:c>
    </x:row>
    <x:row r="242" ht="22" customHeight="1">
      <x:c r="A242" s="1" t="str">
        <x:v>EXC-TJ-C1-C06</x:v>
      </x:c>
      <x:c r="B242" s="1" t="str">
        <x:v>CYR_OVERHAND</x:v>
      </x:c>
      <x:c r="C242" s="1" t="str">
        <x:v>TJ-C1</x:v>
      </x:c>
      <x:c r="D242" s="1" t="str">
        <x:v>6</x:v>
      </x:c>
      <x:c r="E242" s="27" t="n">
        <x:v>40</x:v>
      </x:c>
      <x:c r="F242" s="27" t="n">
        <x:v>3.5</x:v>
      </x:c>
      <x:c r="G242" s="27" t="n">
        <x:v>3.8333333333333335</x:v>
      </x:c>
      <x:c r="H242" s="27" t="n">
        <x:v>13.041113452612203</x:v>
      </x:c>
      <x:c r="I242" s="27" t="n">
        <x:f>IF(OR(E242="",E242&lt;=0),"n.a.",J242/E242)</x:f>
        <x:v>13.032298920779672</x:v>
      </x:c>
      <x:c r="J242" s="27" t="n">
        <x:v>521.2919568311869</x:v>
      </x:c>
      <x:c r="K242" s="27" t="n">
        <x:v>147.8243499481226</x:v>
      </x:c>
      <x:c r="L242" s="27"/>
      <x:c r="M242" s="27" t="n">
        <x:v>2146.6666666666665</x:v>
      </x:c>
      <x:c r="N242" s="27" t="n">
        <x:v>2150.5</x:v>
      </x:c>
      <x:c r="O242" s="27" t="n">
        <x:v>0</x:v>
      </x:c>
      <x:c r="P242" s="27"/>
      <x:c r="Q242" s="1" t="str">
        <x:v>EXCAVATION</x:v>
      </x:c>
      <x:c r="R242" s="1" t="str">
        <x:v>CYR_STAGE_EXCAVATION</x:v>
      </x:c>
    </x:row>
    <x:row r="243" ht="22" customHeight="1">
      <x:c r="A243" s="1" t="str">
        <x:v>RLL-TJ-C1-C06</x:v>
      </x:c>
      <x:c r="B243" s="1" t="str">
        <x:v>CYR_OVERHAND</x:v>
      </x:c>
      <x:c r="C243" s="1" t="str">
        <x:v>TJ-C1</x:v>
      </x:c>
      <x:c r="D243" s="1" t="str">
        <x:v>6</x:v>
      </x:c>
      <x:c r="E243" s="27" t="n">
        <x:v>40</x:v>
      </x:c>
      <x:c r="F243" s="27" t="n">
        <x:v>3.5</x:v>
      </x:c>
      <x:c r="G243" s="27" t="n">
        <x:v>2.8333333333333335</x:v>
      </x:c>
      <x:c r="H243" s="27"/>
      <x:c r="I243" s="27" t="n">
        <x:f>IF(OR(E243="",E243&lt;=0),"n.a.",J243/E243)</x:f>
        <x:v>9.916666666667636</x:v>
      </x:c>
      <x:c r="J243" s="27" t="n">
        <x:v>396.66666666670545</x:v>
      </x:c>
      <x:c r="K243" s="27"/>
      <x:c r="L243" s="27" t="n">
        <x:v>396.66666666670545</x:v>
      </x:c>
      <x:c r="M243" s="27" t="n">
        <x:v>2146.6666666666665</x:v>
      </x:c>
      <x:c r="N243" s="27" t="n">
        <x:v>2149.5</x:v>
      </x:c>
      <x:c r="O243" s="27"/>
      <x:c r="P243" s="27"/>
      <x:c r="Q243" s="1" t="str">
        <x:v>FILL_CUT</x:v>
      </x:c>
      <x:c r="R243" s="1" t="str">
        <x:v>BACKFILL_STAGE</x:v>
      </x:c>
    </x:row>
    <x:row r="244" ht="22" customHeight="1">
      <x:c r="A244" s="1" t="str">
        <x:v>TJ-C1-C07</x:v>
      </x:c>
      <x:c r="B244" s="1" t="str">
        <x:v>CYR_OVERHAND</x:v>
      </x:c>
      <x:c r="C244" s="1" t="str">
        <x:v>TJ-C1</x:v>
      </x:c>
      <x:c r="D244" s="1" t="str">
        <x:v>7</x:v>
      </x:c>
      <x:c r="E244" s="27" t="n">
        <x:v>40</x:v>
      </x:c>
      <x:c r="F244" s="27" t="n">
        <x:v>1.1376681230223369</x:v>
      </x:c>
      <x:c r="G244" s="27" t="n">
        <x:v>3.333333333333485</x:v>
      </x:c>
      <x:c r="H244" s="27"/>
      <x:c r="I244" s="27" t="n">
        <x:f>IF(OR(E244="",E244&lt;=0),"n.a.",J244/E244)</x:f>
        <x:v>3.6901691333396833</x:v>
      </x:c>
      <x:c r="J244" s="27" t="n">
        <x:v>147.60676533358733</x:v>
      </x:c>
      <x:c r="K244" s="27"/>
      <x:c r="L244" s="27"/>
      <x:c r="M244" s="27" t="n">
        <x:v>2150</x:v>
      </x:c>
      <x:c r="N244" s="27" t="n">
        <x:v>2153.3333333333335</x:v>
      </x:c>
      <x:c r="O244" s="27"/>
      <x:c r="P244" s="27"/>
      <x:c r="Q244" s="1" t="str">
        <x:v>ORE_CUT</x:v>
      </x:c>
      <x:c r="R244" s="1" t="str">
        <x:v>ORE_STOPE</x:v>
      </x:c>
    </x:row>
    <x:row r="245" ht="22" customHeight="1">
      <x:c r="A245" s="1" t="str">
        <x:v>EXC-TJ-C1-C07</x:v>
      </x:c>
      <x:c r="B245" s="1" t="str">
        <x:v>CYR_OVERHAND</x:v>
      </x:c>
      <x:c r="C245" s="1" t="str">
        <x:v>TJ-C1</x:v>
      </x:c>
      <x:c r="D245" s="1" t="str">
        <x:v>7</x:v>
      </x:c>
      <x:c r="E245" s="27" t="n">
        <x:v>40</x:v>
      </x:c>
      <x:c r="F245" s="27" t="n">
        <x:v>3.5</x:v>
      </x:c>
      <x:c r="G245" s="27" t="n">
        <x:v>3.8333333333333335</x:v>
      </x:c>
      <x:c r="H245" s="27" t="n">
        <x:v>13.041113452612203</x:v>
      </x:c>
      <x:c r="I245" s="27" t="n">
        <x:f>IF(OR(E245="",E245&lt;=0),"n.a.",J245/E245)</x:f>
        <x:v>13.032298920778581</x:v>
      </x:c>
      <x:c r="J245" s="27" t="n">
        <x:v>521.2919568311432</x:v>
      </x:c>
      <x:c r="K245" s="27" t="n">
        <x:v>147.60676533358733</x:v>
      </x:c>
      <x:c r="L245" s="27"/>
      <x:c r="M245" s="27" t="n">
        <x:v>2150</x:v>
      </x:c>
      <x:c r="N245" s="27" t="n">
        <x:v>2153.8333333333335</x:v>
      </x:c>
      <x:c r="O245" s="27" t="n">
        <x:v>0</x:v>
      </x:c>
      <x:c r="P245" s="27"/>
      <x:c r="Q245" s="1" t="str">
        <x:v>EXCAVATION</x:v>
      </x:c>
      <x:c r="R245" s="1" t="str">
        <x:v>CYR_STAGE_EXCAVATION</x:v>
      </x:c>
    </x:row>
    <x:row r="246" ht="22" customHeight="1">
      <x:c r="A246" s="1" t="str">
        <x:v>RLL-TJ-C1-C07</x:v>
      </x:c>
      <x:c r="B246" s="1" t="str">
        <x:v>CYR_OVERHAND</x:v>
      </x:c>
      <x:c r="C246" s="1" t="str">
        <x:v>TJ-C1</x:v>
      </x:c>
      <x:c r="D246" s="1" t="str">
        <x:v>7</x:v>
      </x:c>
      <x:c r="E246" s="27" t="n">
        <x:v>40</x:v>
      </x:c>
      <x:c r="F246" s="27" t="n">
        <x:v>3.5</x:v>
      </x:c>
      <x:c r="G246" s="27" t="n">
        <x:v>2.8333333333333335</x:v>
      </x:c>
      <x:c r="H246" s="27"/>
      <x:c r="I246" s="27" t="n">
        <x:f>IF(OR(E246="",E246&lt;=0),"n.a.",J246/E246)</x:f>
        <x:v>9.916666666668608</x:v>
      </x:c>
      <x:c r="J246" s="27" t="n">
        <x:v>396.6666666667443</x:v>
      </x:c>
      <x:c r="K246" s="27"/>
      <x:c r="L246" s="27" t="n">
        <x:v>396.6666666667443</x:v>
      </x:c>
      <x:c r="M246" s="27" t="n">
        <x:v>2150</x:v>
      </x:c>
      <x:c r="N246" s="27" t="n">
        <x:v>2152.8333333333335</x:v>
      </x:c>
      <x:c r="O246" s="27"/>
      <x:c r="P246" s="27"/>
      <x:c r="Q246" s="1" t="str">
        <x:v>FILL_CUT</x:v>
      </x:c>
      <x:c r="R246" s="1" t="str">
        <x:v>BACKFILL_STAGE</x:v>
      </x:c>
    </x:row>
    <x:row r="247" ht="22" customHeight="1">
      <x:c r="A247" s="1" t="str">
        <x:v>TJ-C1-C08</x:v>
      </x:c>
      <x:c r="B247" s="1" t="str">
        <x:v>CYR_OVERHAND</x:v>
      </x:c>
      <x:c r="C247" s="1" t="str">
        <x:v>TJ-C1</x:v>
      </x:c>
      <x:c r="D247" s="1" t="str">
        <x:v>8</x:v>
      </x:c>
      <x:c r="E247" s="27" t="n">
        <x:v>40</x:v>
      </x:c>
      <x:c r="F247" s="27" t="n">
        <x:v>1.1360863021041663</x:v>
      </x:c>
      <x:c r="G247" s="27" t="n">
        <x:v>3.333333333333485</x:v>
      </x:c>
      <x:c r="H247" s="27"/>
      <x:c r="I247" s="27" t="n">
        <x:f>IF(OR(E247="",E247&lt;=0),"n.a.",J247/E247)</x:f>
        <x:v>3.684730857635441</x:v>
      </x:c>
      <x:c r="J247" s="27" t="n">
        <x:v>147.38923430541763</x:v>
      </x:c>
      <x:c r="K247" s="27"/>
      <x:c r="L247" s="27"/>
      <x:c r="M247" s="27" t="n">
        <x:v>2153.3333333333335</x:v>
      </x:c>
      <x:c r="N247" s="27" t="n">
        <x:v>2156.666666666667</x:v>
      </x:c>
      <x:c r="O247" s="27"/>
      <x:c r="P247" s="27"/>
      <x:c r="Q247" s="1" t="str">
        <x:v>ORE_CUT</x:v>
      </x:c>
      <x:c r="R247" s="1" t="str">
        <x:v>ORE_STOPE</x:v>
      </x:c>
    </x:row>
    <x:row r="248" ht="22" customHeight="1">
      <x:c r="A248" s="1" t="str">
        <x:v>EXC-TJ-C1-C08</x:v>
      </x:c>
      <x:c r="B248" s="1" t="str">
        <x:v>CYR_OVERHAND</x:v>
      </x:c>
      <x:c r="C248" s="1" t="str">
        <x:v>TJ-C1</x:v>
      </x:c>
      <x:c r="D248" s="1" t="str">
        <x:v>8</x:v>
      </x:c>
      <x:c r="E248" s="27" t="n">
        <x:v>40</x:v>
      </x:c>
      <x:c r="F248" s="27" t="n">
        <x:v>3.5</x:v>
      </x:c>
      <x:c r="G248" s="27" t="n">
        <x:v>3.8333333333333335</x:v>
      </x:c>
      <x:c r="H248" s="27" t="n">
        <x:v>13.041113452612203</x:v>
      </x:c>
      <x:c r="I248" s="27" t="n">
        <x:f>IF(OR(E248="",E248&lt;=0),"n.a.",J248/E248)</x:f>
        <x:v>13.032298920778581</x:v>
      </x:c>
      <x:c r="J248" s="27" t="n">
        <x:v>521.2919568311432</x:v>
      </x:c>
      <x:c r="K248" s="27" t="n">
        <x:v>147.38923430541763</x:v>
      </x:c>
      <x:c r="L248" s="27"/>
      <x:c r="M248" s="27" t="n">
        <x:v>2153.3333333333335</x:v>
      </x:c>
      <x:c r="N248" s="27" t="n">
        <x:v>2157.166666666667</x:v>
      </x:c>
      <x:c r="O248" s="27" t="n">
        <x:v>0</x:v>
      </x:c>
      <x:c r="P248" s="27"/>
      <x:c r="Q248" s="1" t="str">
        <x:v>EXCAVATION</x:v>
      </x:c>
      <x:c r="R248" s="1" t="str">
        <x:v>CYR_STAGE_EXCAVATION</x:v>
      </x:c>
    </x:row>
    <x:row r="249" ht="22" customHeight="1">
      <x:c r="A249" s="1" t="str">
        <x:v>RLL-TJ-C1-C08</x:v>
      </x:c>
      <x:c r="B249" s="1" t="str">
        <x:v>CYR_OVERHAND</x:v>
      </x:c>
      <x:c r="C249" s="1" t="str">
        <x:v>TJ-C1</x:v>
      </x:c>
      <x:c r="D249" s="1" t="str">
        <x:v>8</x:v>
      </x:c>
      <x:c r="E249" s="27" t="n">
        <x:v>40</x:v>
      </x:c>
      <x:c r="F249" s="27" t="n">
        <x:v>3.5</x:v>
      </x:c>
      <x:c r="G249" s="27" t="n">
        <x:v>2.8333333333333335</x:v>
      </x:c>
      <x:c r="H249" s="27"/>
      <x:c r="I249" s="27" t="n">
        <x:f>IF(OR(E249="",E249&lt;=0),"n.a.",J249/E249)</x:f>
        <x:v>9.916666666664726</x:v>
      </x:c>
      <x:c r="J249" s="27" t="n">
        <x:v>396.66666666658904</x:v>
      </x:c>
      <x:c r="K249" s="27"/>
      <x:c r="L249" s="27" t="n">
        <x:v>396.66666666658904</x:v>
      </x:c>
      <x:c r="M249" s="27" t="n">
        <x:v>2153.3333333333335</x:v>
      </x:c>
      <x:c r="N249" s="27" t="n">
        <x:v>2156.166666666667</x:v>
      </x:c>
      <x:c r="O249" s="27"/>
      <x:c r="P249" s="27"/>
      <x:c r="Q249" s="1" t="str">
        <x:v>FILL_CUT</x:v>
      </x:c>
      <x:c r="R249" s="1" t="str">
        <x:v>BACKFILL_STAGE</x:v>
      </x:c>
    </x:row>
    <x:row r="250" ht="22" customHeight="1">
      <x:c r="A250" s="1" t="str">
        <x:v>TJ-C1-C09</x:v>
      </x:c>
      <x:c r="B250" s="1" t="str">
        <x:v>CYR_OVERHAND</x:v>
      </x:c>
      <x:c r="C250" s="1" t="str">
        <x:v>TJ-C1</x:v>
      </x:c>
      <x:c r="D250" s="1" t="str">
        <x:v>9</x:v>
      </x:c>
      <x:c r="E250" s="27" t="n">
        <x:v>40</x:v>
      </x:c>
      <x:c r="F250" s="27" t="n">
        <x:v>1.1345129925426942</x:v>
      </x:c>
      <x:c r="G250" s="27" t="n">
        <x:v>3.333333333333485</x:v>
      </x:c>
      <x:c r="H250" s="27"/>
      <x:c r="I250" s="27" t="n">
        <x:f>IF(OR(E250="",E250&lt;=0),"n.a.",J250/E250)</x:f>
        <x:v>3.6792941100004706</x:v>
      </x:c>
      <x:c r="J250" s="27" t="n">
        <x:v>147.17176440001882</x:v>
      </x:c>
      <x:c r="K250" s="27"/>
      <x:c r="L250" s="27"/>
      <x:c r="M250" s="27" t="n">
        <x:v>2156.6666666666665</x:v>
      </x:c>
      <x:c r="N250" s="27" t="n">
        <x:v>2160</x:v>
      </x:c>
      <x:c r="O250" s="27"/>
      <x:c r="P250" s="27"/>
      <x:c r="Q250" s="1" t="str">
        <x:v>ORE_CUT</x:v>
      </x:c>
      <x:c r="R250" s="1" t="str">
        <x:v>ORE_STOPE</x:v>
      </x:c>
    </x:row>
    <x:row r="251" ht="22" customHeight="1">
      <x:c r="A251" s="1" t="str">
        <x:v>EXC-TJ-C1-C09</x:v>
      </x:c>
      <x:c r="B251" s="1" t="str">
        <x:v>CYR_OVERHAND</x:v>
      </x:c>
      <x:c r="C251" s="1" t="str">
        <x:v>TJ-C1</x:v>
      </x:c>
      <x:c r="D251" s="1" t="str">
        <x:v>9</x:v>
      </x:c>
      <x:c r="E251" s="27" t="n">
        <x:v>40</x:v>
      </x:c>
      <x:c r="F251" s="27" t="n">
        <x:v>3.5</x:v>
      </x:c>
      <x:c r="G251" s="27" t="n">
        <x:v>3.8333333333333335</x:v>
      </x:c>
      <x:c r="H251" s="27" t="n">
        <x:v>13.041113452612203</x:v>
      </x:c>
      <x:c r="I251" s="27" t="n">
        <x:f>IF(OR(E251="",E251&lt;=0),"n.a.",J251/E251)</x:f>
        <x:v>13.03229892077943</x:v>
      </x:c>
      <x:c r="J251" s="27" t="n">
        <x:v>521.2919568311772</x:v>
      </x:c>
      <x:c r="K251" s="27" t="n">
        <x:v>147.17176440001882</x:v>
      </x:c>
      <x:c r="L251" s="27"/>
      <x:c r="M251" s="27" t="n">
        <x:v>2156.6666666666665</x:v>
      </x:c>
      <x:c r="N251" s="27" t="n">
        <x:v>2160.5</x:v>
      </x:c>
      <x:c r="O251" s="27" t="n">
        <x:v>0</x:v>
      </x:c>
      <x:c r="P251" s="27"/>
      <x:c r="Q251" s="1" t="str">
        <x:v>EXCAVATION</x:v>
      </x:c>
      <x:c r="R251" s="1" t="str">
        <x:v>CYR_STAGE_EXCAVATION</x:v>
      </x:c>
    </x:row>
    <x:row r="252" ht="22" customHeight="1">
      <x:c r="A252" s="1" t="str">
        <x:v>RLL-TJ-C1-C09</x:v>
      </x:c>
      <x:c r="B252" s="1" t="str">
        <x:v>CYR_OVERHAND</x:v>
      </x:c>
      <x:c r="C252" s="1" t="str">
        <x:v>TJ-C1</x:v>
      </x:c>
      <x:c r="D252" s="1" t="str">
        <x:v>9</x:v>
      </x:c>
      <x:c r="E252" s="27" t="n">
        <x:v>40</x:v>
      </x:c>
      <x:c r="F252" s="27" t="n">
        <x:v>3.5</x:v>
      </x:c>
      <x:c r="G252" s="27" t="n">
        <x:v>2.8333333333333335</x:v>
      </x:c>
      <x:c r="H252" s="27"/>
      <x:c r="I252" s="27" t="n">
        <x:f>IF(OR(E252="",E252&lt;=0),"n.a.",J252/E252)</x:f>
        <x:v>9.916666666667636</x:v>
      </x:c>
      <x:c r="J252" s="27" t="n">
        <x:v>396.66666666670545</x:v>
      </x:c>
      <x:c r="K252" s="27"/>
      <x:c r="L252" s="27" t="n">
        <x:v>396.66666666670545</x:v>
      </x:c>
      <x:c r="M252" s="27" t="n">
        <x:v>2156.6666666666665</x:v>
      </x:c>
      <x:c r="N252" s="27" t="n">
        <x:v>2159.5</x:v>
      </x:c>
      <x:c r="O252" s="27"/>
      <x:c r="P252" s="27"/>
      <x:c r="Q252" s="1" t="str">
        <x:v>FILL_CUT</x:v>
      </x:c>
      <x:c r="R252" s="1" t="str">
        <x:v>BACKFILL_STAGE</x:v>
      </x:c>
    </x:row>
    <x:row r="253" ht="22" customHeight="1">
      <x:c r="A253" s="1" t="str">
        <x:v>TJ-C1-C10</x:v>
      </x:c>
      <x:c r="B253" s="1" t="str">
        <x:v>CYR_OVERHAND</x:v>
      </x:c>
      <x:c r="C253" s="1" t="str">
        <x:v>TJ-C1</x:v>
      </x:c>
      <x:c r="D253" s="1" t="str">
        <x:v>10</x:v>
      </x:c>
      <x:c r="E253" s="27" t="n">
        <x:v>40</x:v>
      </x:c>
      <x:c r="F253" s="27" t="n">
        <x:v>1.1329396829812222</x:v>
      </x:c>
      <x:c r="G253" s="27" t="n">
        <x:v>3.333333333333485</x:v>
      </x:c>
      <x:c r="H253" s="27"/>
      <x:c r="I253" s="27" t="n">
        <x:f>IF(OR(E253="",E253&lt;=0),"n.a.",J253/E253)</x:f>
        <x:v>3.67385884642869</x:v>
      </x:c>
      <x:c r="J253" s="27" t="n">
        <x:v>146.9543538571476</x:v>
      </x:c>
      <x:c r="K253" s="27"/>
      <x:c r="L253" s="27"/>
      <x:c r="M253" s="27" t="n">
        <x:v>2160</x:v>
      </x:c>
      <x:c r="N253" s="27" t="n">
        <x:v>2163.3333333333335</x:v>
      </x:c>
      <x:c r="O253" s="27"/>
      <x:c r="P253" s="27"/>
      <x:c r="Q253" s="1" t="str">
        <x:v>ORE_CUT</x:v>
      </x:c>
      <x:c r="R253" s="1" t="str">
        <x:v>ORE_STOPE</x:v>
      </x:c>
    </x:row>
    <x:row r="254" ht="22" customHeight="1">
      <x:c r="A254" s="1" t="str">
        <x:v>EXC-TJ-C1-C10</x:v>
      </x:c>
      <x:c r="B254" s="1" t="str">
        <x:v>CYR_OVERHAND</x:v>
      </x:c>
      <x:c r="C254" s="1" t="str">
        <x:v>TJ-C1</x:v>
      </x:c>
      <x:c r="D254" s="1" t="str">
        <x:v>10</x:v>
      </x:c>
      <x:c r="E254" s="27" t="n">
        <x:v>40</x:v>
      </x:c>
      <x:c r="F254" s="27" t="n">
        <x:v>3.5</x:v>
      </x:c>
      <x:c r="G254" s="27" t="n">
        <x:v>3.8333333333333335</x:v>
      </x:c>
      <x:c r="H254" s="27" t="n">
        <x:v>13.041113452612203</x:v>
      </x:c>
      <x:c r="I254" s="27" t="n">
        <x:f>IF(OR(E254="",E254&lt;=0),"n.a.",J254/E254)</x:f>
        <x:v>13.032298920778704</x:v>
      </x:c>
      <x:c r="J254" s="27" t="n">
        <x:v>521.2919568311481</x:v>
      </x:c>
      <x:c r="K254" s="27" t="n">
        <x:v>146.9543538571476</x:v>
      </x:c>
      <x:c r="L254" s="27"/>
      <x:c r="M254" s="27" t="n">
        <x:v>2160</x:v>
      </x:c>
      <x:c r="N254" s="27" t="n">
        <x:v>2163.8333333333335</x:v>
      </x:c>
      <x:c r="O254" s="27" t="n">
        <x:v>0</x:v>
      </x:c>
      <x:c r="P254" s="27"/>
      <x:c r="Q254" s="1" t="str">
        <x:v>EXCAVATION</x:v>
      </x:c>
      <x:c r="R254" s="1" t="str">
        <x:v>CYR_STAGE_EXCAVATION</x:v>
      </x:c>
    </x:row>
    <x:row r="255" ht="22" customHeight="1">
      <x:c r="A255" s="1" t="str">
        <x:v>RLL-TJ-C1-C10</x:v>
      </x:c>
      <x:c r="B255" s="1" t="str">
        <x:v>CYR_OVERHAND</x:v>
      </x:c>
      <x:c r="C255" s="1" t="str">
        <x:v>TJ-C1</x:v>
      </x:c>
      <x:c r="D255" s="1" t="str">
        <x:v>10</x:v>
      </x:c>
      <x:c r="E255" s="27" t="n">
        <x:v>40</x:v>
      </x:c>
      <x:c r="F255" s="27" t="n">
        <x:v>3.5</x:v>
      </x:c>
      <x:c r="G255" s="27" t="n">
        <x:v>2.8333333333333335</x:v>
      </x:c>
      <x:c r="H255" s="27"/>
      <x:c r="I255" s="27" t="n">
        <x:f>IF(OR(E255="",E255&lt;=0),"n.a.",J255/E255)</x:f>
        <x:v>9.916666666668608</x:v>
      </x:c>
      <x:c r="J255" s="27" t="n">
        <x:v>396.6666666667443</x:v>
      </x:c>
      <x:c r="K255" s="27"/>
      <x:c r="L255" s="27" t="n">
        <x:v>396.6666666667443</x:v>
      </x:c>
      <x:c r="M255" s="27" t="n">
        <x:v>2160</x:v>
      </x:c>
      <x:c r="N255" s="27" t="n">
        <x:v>2162.8333333333335</x:v>
      </x:c>
      <x:c r="O255" s="27"/>
      <x:c r="P255" s="27"/>
      <x:c r="Q255" s="1" t="str">
        <x:v>FILL_CUT</x:v>
      </x:c>
      <x:c r="R255" s="1" t="str">
        <x:v>BACKFILL_STAGE</x:v>
      </x:c>
    </x:row>
    <x:row r="256" ht="22" customHeight="1">
      <x:c r="A256" s="1" t="str">
        <x:v>TJ-C1-C11</x:v>
      </x:c>
      <x:c r="B256" s="1" t="str">
        <x:v>CYR_OVERHAND</x:v>
      </x:c>
      <x:c r="C256" s="1" t="str">
        <x:v>TJ-C1</x:v>
      </x:c>
      <x:c r="D256" s="1" t="str">
        <x:v>11</x:v>
      </x:c>
      <x:c r="E256" s="27" t="n">
        <x:v>40</x:v>
      </x:c>
      <x:c r="F256" s="27" t="n">
        <x:v>1.13136637341975</x:v>
      </x:c>
      <x:c r="G256" s="27" t="n">
        <x:v>3.333333333333485</x:v>
      </x:c>
      <x:c r="H256" s="27"/>
      <x:c r="I256" s="27" t="n">
        <x:f>IF(OR(E256="",E256&lt;=0),"n.a.",J256/E256)</x:f>
        <x:v>3.668424697505967</x:v>
      </x:c>
      <x:c r="J256" s="27" t="n">
        <x:v>146.7369879002387</x:v>
      </x:c>
      <x:c r="K256" s="27"/>
      <x:c r="L256" s="27"/>
      <x:c r="M256" s="27" t="n">
        <x:v>2163.3333333333335</x:v>
      </x:c>
      <x:c r="N256" s="27" t="n">
        <x:v>2166.666666666667</x:v>
      </x:c>
      <x:c r="O256" s="27"/>
      <x:c r="P256" s="27"/>
      <x:c r="Q256" s="1" t="str">
        <x:v>ORE_CUT</x:v>
      </x:c>
      <x:c r="R256" s="1" t="str">
        <x:v>ORE_STOPE</x:v>
      </x:c>
    </x:row>
    <x:row r="257" ht="22" customHeight="1">
      <x:c r="A257" s="1" t="str">
        <x:v>EXC-TJ-C1-C11</x:v>
      </x:c>
      <x:c r="B257" s="1" t="str">
        <x:v>CYR_OVERHAND</x:v>
      </x:c>
      <x:c r="C257" s="1" t="str">
        <x:v>TJ-C1</x:v>
      </x:c>
      <x:c r="D257" s="1" t="str">
        <x:v>11</x:v>
      </x:c>
      <x:c r="E257" s="27" t="n">
        <x:v>40</x:v>
      </x:c>
      <x:c r="F257" s="27" t="n">
        <x:v>3.5</x:v>
      </x:c>
      <x:c r="G257" s="27" t="n">
        <x:v>3.8333333333333335</x:v>
      </x:c>
      <x:c r="H257" s="27" t="n">
        <x:v>13.041113452612203</x:v>
      </x:c>
      <x:c r="I257" s="27" t="n">
        <x:f>IF(OR(E257="",E257&lt;=0),"n.a.",J257/E257)</x:f>
        <x:v>13.032298920779553</x:v>
      </x:c>
      <x:c r="J257" s="27" t="n">
        <x:v>521.2919568311821</x:v>
      </x:c>
      <x:c r="K257" s="27" t="n">
        <x:v>146.7369879002387</x:v>
      </x:c>
      <x:c r="L257" s="27"/>
      <x:c r="M257" s="27" t="n">
        <x:v>2163.3333333333335</x:v>
      </x:c>
      <x:c r="N257" s="27" t="n">
        <x:v>2167.166666666667</x:v>
      </x:c>
      <x:c r="O257" s="27" t="n">
        <x:v>0</x:v>
      </x:c>
      <x:c r="P257" s="27"/>
      <x:c r="Q257" s="1" t="str">
        <x:v>EXCAVATION</x:v>
      </x:c>
      <x:c r="R257" s="1" t="str">
        <x:v>CYR_STAGE_EXCAVATION</x:v>
      </x:c>
    </x:row>
    <x:row r="258" ht="22" customHeight="1">
      <x:c r="A258" s="1" t="str">
        <x:v>RLL-TJ-C1-C11</x:v>
      </x:c>
      <x:c r="B258" s="1" t="str">
        <x:v>CYR_OVERHAND</x:v>
      </x:c>
      <x:c r="C258" s="1" t="str">
        <x:v>TJ-C1</x:v>
      </x:c>
      <x:c r="D258" s="1" t="str">
        <x:v>11</x:v>
      </x:c>
      <x:c r="E258" s="27" t="n">
        <x:v>40</x:v>
      </x:c>
      <x:c r="F258" s="27" t="n">
        <x:v>3.5</x:v>
      </x:c>
      <x:c r="G258" s="27" t="n">
        <x:v>2.8333333333333335</x:v>
      </x:c>
      <x:c r="H258" s="27"/>
      <x:c r="I258" s="27" t="n">
        <x:f>IF(OR(E258="",E258&lt;=0),"n.a.",J258/E258)</x:f>
        <x:v>9.916666666665696</x:v>
      </x:c>
      <x:c r="J258" s="27" t="n">
        <x:v>396.66666666662786</x:v>
      </x:c>
      <x:c r="K258" s="27"/>
      <x:c r="L258" s="27" t="n">
        <x:v>396.66666666662786</x:v>
      </x:c>
      <x:c r="M258" s="27" t="n">
        <x:v>2163.3333333333335</x:v>
      </x:c>
      <x:c r="N258" s="27" t="n">
        <x:v>2166.166666666667</x:v>
      </x:c>
      <x:c r="O258" s="27"/>
      <x:c r="P258" s="27"/>
      <x:c r="Q258" s="1" t="str">
        <x:v>FILL_CUT</x:v>
      </x:c>
      <x:c r="R258" s="1" t="str">
        <x:v>BACKFILL_STAGE</x:v>
      </x:c>
    </x:row>
    <x:row r="259" ht="22" customHeight="1">
      <x:c r="A259" s="1" t="str">
        <x:v>TJ-C1-C12</x:v>
      </x:c>
      <x:c r="B259" s="1" t="str">
        <x:v>CYR_OVERHAND</x:v>
      </x:c>
      <x:c r="C259" s="1" t="str">
        <x:v>TJ-C1</x:v>
      </x:c>
      <x:c r="D259" s="1" t="str">
        <x:v>12</x:v>
      </x:c>
      <x:c r="E259" s="27" t="n">
        <x:v>40</x:v>
      </x:c>
      <x:c r="F259" s="27" t="n">
        <x:v>1.129793063858278</x:v>
      </x:c>
      <x:c r="G259" s="27" t="n">
        <x:v>3.333333333333485</x:v>
      </x:c>
      <x:c r="H259" s="27"/>
      <x:c r="I259" s="27" t="n">
        <x:f>IF(OR(E259="",E259&lt;=0),"n.a.",J259/E259)</x:f>
        <x:v>3.6629919717546726</x:v>
      </x:c>
      <x:c r="J259" s="27" t="n">
        <x:v>146.5196788701869</x:v>
      </x:c>
      <x:c r="K259" s="27"/>
      <x:c r="L259" s="27"/>
      <x:c r="M259" s="27" t="n">
        <x:v>2166.6666666666665</x:v>
      </x:c>
      <x:c r="N259" s="27" t="n">
        <x:v>2170</x:v>
      </x:c>
      <x:c r="O259" s="27"/>
      <x:c r="P259" s="27"/>
      <x:c r="Q259" s="1" t="str">
        <x:v>ORE_CUT</x:v>
      </x:c>
      <x:c r="R259" s="1" t="str">
        <x:v>ORE_STOPE</x:v>
      </x:c>
    </x:row>
    <x:row r="260" ht="22" customHeight="1">
      <x:c r="A260" s="1" t="str">
        <x:v>EXC-TJ-C1-C12</x:v>
      </x:c>
      <x:c r="B260" s="1" t="str">
        <x:v>CYR_OVERHAND</x:v>
      </x:c>
      <x:c r="C260" s="1" t="str">
        <x:v>TJ-C1</x:v>
      </x:c>
      <x:c r="D260" s="1" t="str">
        <x:v>12</x:v>
      </x:c>
      <x:c r="E260" s="27" t="n">
        <x:v>40</x:v>
      </x:c>
      <x:c r="F260" s="27" t="n">
        <x:v>3.5</x:v>
      </x:c>
      <x:c r="G260" s="27" t="n">
        <x:v>3.8333333333333335</x:v>
      </x:c>
      <x:c r="H260" s="27" t="n">
        <x:v>13.041113452612203</x:v>
      </x:c>
      <x:c r="I260" s="27" t="n">
        <x:f>IF(OR(E260="",E260&lt;=0),"n.a.",J260/E260)</x:f>
        <x:v>13.03229892077943</x:v>
      </x:c>
      <x:c r="J260" s="27" t="n">
        <x:v>521.2919568311772</x:v>
      </x:c>
      <x:c r="K260" s="27" t="n">
        <x:v>146.5196788701869</x:v>
      </x:c>
      <x:c r="L260" s="27"/>
      <x:c r="M260" s="27" t="n">
        <x:v>2166.6666666666665</x:v>
      </x:c>
      <x:c r="N260" s="27" t="n">
        <x:v>2170.5</x:v>
      </x:c>
      <x:c r="O260" s="27" t="n">
        <x:v>0</x:v>
      </x:c>
      <x:c r="P260" s="27"/>
      <x:c r="Q260" s="1" t="str">
        <x:v>EXCAVATION</x:v>
      </x:c>
      <x:c r="R260" s="1" t="str">
        <x:v>CYR_STAGE_EXCAVATION</x:v>
      </x:c>
    </x:row>
    <x:row r="261" ht="22" customHeight="1">
      <x:c r="A261" s="1" t="str">
        <x:v>RLL-TJ-C1-C12</x:v>
      </x:c>
      <x:c r="B261" s="1" t="str">
        <x:v>CYR_OVERHAND</x:v>
      </x:c>
      <x:c r="C261" s="1" t="str">
        <x:v>TJ-C1</x:v>
      </x:c>
      <x:c r="D261" s="1" t="str">
        <x:v>12</x:v>
      </x:c>
      <x:c r="E261" s="27" t="n">
        <x:v>40</x:v>
      </x:c>
      <x:c r="F261" s="27" t="n">
        <x:v>3.5</x:v>
      </x:c>
      <x:c r="G261" s="27" t="n">
        <x:v>2.8333333333333335</x:v>
      </x:c>
      <x:c r="H261" s="27"/>
      <x:c r="I261" s="27" t="n">
        <x:f>IF(OR(E261="",E261&lt;=0),"n.a.",J261/E261)</x:f>
        <x:v>9.916666666669578</x:v>
      </x:c>
      <x:c r="J261" s="27" t="n">
        <x:v>396.6666666667831</x:v>
      </x:c>
      <x:c r="K261" s="27"/>
      <x:c r="L261" s="27" t="n">
        <x:v>396.6666666667831</x:v>
      </x:c>
      <x:c r="M261" s="27" t="n">
        <x:v>2166.6666666666665</x:v>
      </x:c>
      <x:c r="N261" s="27" t="n">
        <x:v>2169.5</x:v>
      </x:c>
      <x:c r="O261" s="27"/>
      <x:c r="P261" s="27"/>
      <x:c r="Q261" s="1" t="str">
        <x:v>FILL_CUT</x:v>
      </x:c>
      <x:c r="R261" s="1" t="str">
        <x:v>BACKFILL_STAGE</x:v>
      </x:c>
    </x:row>
    <x:row r="262" ht="22" customHeight="1">
      <x:c r="A262" s="1" t="str">
        <x:v>CX-TJ-C1-RL2130</x:v>
      </x:c>
      <x:c r="B262" s="1" t="str">
        <x:v>CYR_OVERHAND</x:v>
      </x:c>
      <x:c r="C262" s="1" t="str">
        <x:v>TJ-C1</x:v>
      </x:c>
      <x:c r="D262" s="1" t="str"/>
      <x:c r="E262" s="27" t="n">
        <x:v>33.479759807435514</x:v>
      </x:c>
      <x:c r="F262" s="27" t="n">
        <x:v>3.5</x:v>
      </x:c>
      <x:c r="G262" s="27" t="n">
        <x:v>3.5</x:v>
      </x:c>
      <x:c r="H262" s="27" t="n">
        <x:v>11.874446785945535</x:v>
      </x:c>
      <x:c r="I262" s="27" t="n">
        <x:f>IF(OR(E262="",E262&lt;=0),"n.a.",J262/E262)</x:f>
        <x:v>11.862357095151422</x:v>
      </x:c>
      <x:c r="J262" s="27" t="n">
        <x:v>397.1488662956981</x:v>
      </x:c>
      <x:c r="K262" s="27"/>
      <x:c r="L262" s="27"/>
      <x:c r="M262" s="27" t="n">
        <x:v>2130</x:v>
      </x:c>
      <x:c r="N262" s="27" t="n">
        <x:v>2133.5</x:v>
      </x:c>
      <x:c r="O262" s="27" t="n">
        <x:v>0</x:v>
      </x:c>
      <x:c r="P262" s="27" t="n">
        <x:v>19.99999999997188</x:v>
      </x:c>
      <x:c r="Q262" s="1" t="str">
        <x:v>EXCAVATION</x:v>
      </x:c>
      <x:c r="R262" s="1" t="str">
        <x:v>CROSSCUT</x:v>
      </x:c>
    </x:row>
    <x:row r="263" ht="22" customHeight="1">
      <x:c r="A263" s="1" t="str">
        <x:v>CX-TJ-C1-RL2150</x:v>
      </x:c>
      <x:c r="B263" s="1" t="str">
        <x:v>CYR_OVERHAND</x:v>
      </x:c>
      <x:c r="C263" s="1" t="str">
        <x:v>TJ-C1</x:v>
      </x:c>
      <x:c r="D263" s="1" t="str"/>
      <x:c r="E263" s="27" t="n">
        <x:v>33.47975980743551</x:v>
      </x:c>
      <x:c r="F263" s="27" t="n">
        <x:v>3.5</x:v>
      </x:c>
      <x:c r="G263" s="27" t="n">
        <x:v>3.5</x:v>
      </x:c>
      <x:c r="H263" s="27" t="n">
        <x:v>11.874446785945535</x:v>
      </x:c>
      <x:c r="I263" s="27" t="n">
        <x:f>IF(OR(E263="",E263&lt;=0),"n.a.",J263/E263)</x:f>
        <x:v>11.862357095151426</x:v>
      </x:c>
      <x:c r="J263" s="27" t="n">
        <x:v>397.1488662956981</x:v>
      </x:c>
      <x:c r="K263" s="27"/>
      <x:c r="L263" s="27"/>
      <x:c r="M263" s="27" t="n">
        <x:v>2150</x:v>
      </x:c>
      <x:c r="N263" s="27" t="n">
        <x:v>2153.5</x:v>
      </x:c>
      <x:c r="O263" s="27" t="n">
        <x:v>0</x:v>
      </x:c>
      <x:c r="P263" s="27" t="n">
        <x:v>19.99999999997188</x:v>
      </x:c>
      <x:c r="Q263" s="1" t="str">
        <x:v>EXCAVATION</x:v>
      </x:c>
      <x:c r="R263" s="1" t="str">
        <x:v>CROSSCUT</x:v>
      </x:c>
    </x:row>
    <x:row r="264" ht="22" customHeight="1">
      <x:c r="A264" s="1" t="str">
        <x:v>CX-TJ-C1-RL2170</x:v>
      </x:c>
      <x:c r="B264" s="1" t="str">
        <x:v>CYR_OVERHAND</x:v>
      </x:c>
      <x:c r="C264" s="1" t="str">
        <x:v>TJ-C1</x:v>
      </x:c>
      <x:c r="D264" s="1" t="str"/>
      <x:c r="E264" s="27" t="n">
        <x:v>33.479759807435514</x:v>
      </x:c>
      <x:c r="F264" s="27" t="n">
        <x:v>3.5</x:v>
      </x:c>
      <x:c r="G264" s="27" t="n">
        <x:v>3.5</x:v>
      </x:c>
      <x:c r="H264" s="27" t="n">
        <x:v>11.874446785945535</x:v>
      </x:c>
      <x:c r="I264" s="27" t="n">
        <x:f>IF(OR(E264="",E264&lt;=0),"n.a.",J264/E264)</x:f>
        <x:v>11.862357095151422</x:v>
      </x:c>
      <x:c r="J264" s="27" t="n">
        <x:v>397.1488662956981</x:v>
      </x:c>
      <x:c r="K264" s="27"/>
      <x:c r="L264" s="27"/>
      <x:c r="M264" s="27" t="n">
        <x:v>2170</x:v>
      </x:c>
      <x:c r="N264" s="27" t="n">
        <x:v>2173.5</x:v>
      </x:c>
      <x:c r="O264" s="27" t="n">
        <x:v>0</x:v>
      </x:c>
      <x:c r="P264" s="27" t="n">
        <x:v>19.99999999997188</x:v>
      </x:c>
      <x:c r="Q264" s="1" t="str">
        <x:v>EXCAVATION</x:v>
      </x:c>
      <x:c r="R264" s="1" t="str">
        <x:v>CROSSCUT</x:v>
      </x:c>
    </x:row>
    <x:row r="265" ht="22" customHeight="1">
      <x:c r="A265" s="1" t="str">
        <x:v>BOC-V2</x:v>
      </x:c>
      <x:c r="B265" s="1" t="str"/>
      <x:c r="C265" s="1" t="str"/>
      <x:c r="D265" s="1" t="str"/>
      <x:c r="E265" s="27" t="n">
        <x:v>70.34912934784626</x:v>
      </x:c>
      <x:c r="F265" s="27" t="n">
        <x:v>4.5</x:v>
      </x:c>
      <x:c r="G265" s="27" t="n">
        <x:v>4.5</x:v>
      </x:c>
      <x:c r="H265" s="27" t="n">
        <x:v>18.801437602932776</x:v>
      </x:c>
      <x:c r="I265" s="27" t="n">
        <x:f>IF(OR(E265="",E265&lt;=0),"n.a.",J265/E265)</x:f>
        <x:v>18.674299465948668</x:v>
      </x:c>
      <x:c r="J265" s="27" t="n">
        <x:v>1313.720708610439</x:v>
      </x:c>
      <x:c r="K265" s="27"/>
      <x:c r="L265" s="27"/>
      <x:c r="M265" s="27" t="n">
        <x:v>2210</x:v>
      </x:c>
      <x:c r="N265" s="27" t="n">
        <x:v>2221.5</x:v>
      </x:c>
      <x:c r="O265" s="27" t="n">
        <x:v>10.000000000000142</x:v>
      </x:c>
      <x:c r="P265" s="27"/>
      <x:c r="Q265" s="1" t="str">
        <x:v>EXCAVATION</x:v>
      </x:c>
      <x:c r="R265" s="1" t="str">
        <x:v>PORTAL_ADIT</x:v>
      </x:c>
    </x:row>
    <x:row r="266" ht="22" customHeight="1">
      <x:c r="A266" s="1" t="str">
        <x:v>TRIN-V2</x:v>
      </x:c>
      <x:c r="B266" s="1" t="str"/>
      <x:c r="C266" s="1" t="str"/>
      <x:c r="D266" s="1" t="str"/>
      <x:c r="E266" s="27" t="n">
        <x:v>44.639537533894774</x:v>
      </x:c>
      <x:c r="F266" s="27" t="n">
        <x:v>8</x:v>
      </x:c>
      <x:c r="G266" s="27" t="n">
        <x:v>4.5</x:v>
      </x:c>
      <x:c r="H266" s="27" t="n">
        <x:v>33.424777960769376</x:v>
      </x:c>
      <x:c r="I266" s="27" t="n">
        <x:f>IF(OR(E266="",E266&lt;=0),"n.a.",J266/E266)</x:f>
        <x:v>33.19875460613196</x:v>
      </x:c>
      <x:c r="J266" s="27" t="n">
        <x:v>1481.9770523189898</x:v>
      </x:c>
      <x:c r="K266" s="27"/>
      <x:c r="L266" s="27"/>
      <x:c r="M266" s="27" t="n">
        <x:v>2217</x:v>
      </x:c>
      <x:c r="N266" s="27" t="n">
        <x:v>2225.9418</x:v>
      </x:c>
      <x:c r="O266" s="27" t="n">
        <x:v>10.00000000000032</x:v>
      </x:c>
      <x:c r="P266" s="27"/>
      <x:c r="Q266" s="1" t="str">
        <x:v>EXCAVATION</x:v>
      </x:c>
      <x:c r="R266" s="1" t="str">
        <x:v>OPEN_PORTAL_TRENCH</x:v>
      </x:c>
    </x:row>
    <x:row r="267" ht="22" customHeight="1">
      <x:c r="A267" s="1" t="str">
        <x:v>V2-BAN_CUT_01</x:v>
      </x:c>
      <x:c r="B267" s="1" t="str"/>
      <x:c r="C267" s="1" t="str"/>
      <x:c r="D267" s="1" t="str"/>
      <x:c r="E267" s="27"/>
      <x:c r="F267" s="27"/>
      <x:c r="G267" s="27"/>
      <x:c r="H267" s="27"/>
      <x:c r="I267" s="27" t="str">
        <x:f>IF(OR(E267="",E267&lt;=0),"n.a.",J267/E267)</x:f>
        <x:v>n.a.</x:v>
      </x:c>
      <x:c r="J267" s="27" t="n">
        <x:v>1289.2450656098274</x:v>
      </x:c>
      <x:c r="K267" s="27"/>
      <x:c r="L267" s="27"/>
      <x:c r="M267" s="27" t="n">
        <x:v>2217.427230677622</x:v>
      </x:c>
      <x:c r="N267" s="27" t="n">
        <x:v>2227.8872869335073</x:v>
      </x:c>
      <x:c r="O267" s="27"/>
      <x:c r="P267" s="27"/>
      <x:c r="Q267" s="1" t="str">
        <x:v>REFERENCE</x:v>
      </x:c>
      <x:c r="R267" s="1" t="str">
        <x:v>PORTAL_BENCH_CUT</x:v>
      </x:c>
    </x:row>
    <x:row r="268" ht="22" customHeight="1">
      <x:c r="A268" s="1" t="str">
        <x:v>V2-BAN_FILL_01</x:v>
      </x:c>
      <x:c r="B268" s="1" t="str"/>
      <x:c r="C268" s="1" t="str"/>
      <x:c r="D268" s="1" t="str"/>
      <x:c r="E268" s="27"/>
      <x:c r="F268" s="27"/>
      <x:c r="G268" s="27"/>
      <x:c r="H268" s="27"/>
      <x:c r="I268" s="27" t="str">
        <x:f>IF(OR(E268="",E268&lt;=0),"n.a.",J268/E268)</x:f>
        <x:v>n.a.</x:v>
      </x:c>
      <x:c r="J268" s="27" t="n">
        <x:v>70.39446473195373</x:v>
      </x:c>
      <x:c r="K268" s="27"/>
      <x:c r="L268" s="27"/>
      <x:c r="M268" s="27" t="n">
        <x:v>2218.9250487055897</x:v>
      </x:c>
      <x:c r="N268" s="27" t="n">
        <x:v>2222.140126852459</x:v>
      </x:c>
      <x:c r="O268" s="27"/>
      <x:c r="P268" s="27"/>
      <x:c r="Q268" s="1" t="str">
        <x:v>REFERENCE</x:v>
      </x:c>
      <x:c r="R268" s="1" t="str">
        <x:v>PORTAL_BENCH_FILL</x:v>
      </x:c>
    </x:row>
    <x:row r="269" ht="22" customHeight="1">
      <x:c r="A269" s="1" t="str">
        <x:v>CH-VENT</x:v>
      </x:c>
      <x:c r="B269" s="1" t="str">
        <x:v>SERVICE</x:v>
      </x:c>
      <x:c r="C269" s="1" t="str"/>
      <x:c r="D269" s="1" t="str"/>
      <x:c r="E269" s="27" t="n">
        <x:v>147.25726814283644</x:v>
      </x:c>
      <x:c r="F269" s="27" t="n">
        <x:v>3</x:v>
      </x:c>
      <x:c r="G269" s="27" t="n">
        <x:v>3</x:v>
      </x:c>
      <x:c r="H269" s="27" t="n">
        <x:v>9</x:v>
      </x:c>
      <x:c r="I269" s="27" t="n">
        <x:f>IF(OR(E269="",E269&lt;=0),"n.a.",J269/E269)</x:f>
        <x:v>9.000000000003057</x:v>
      </x:c>
      <x:c r="J269" s="27" t="n">
        <x:v>1325.3154132859781</x:v>
      </x:c>
      <x:c r="K269" s="27"/>
      <x:c r="L269" s="27"/>
      <x:c r="M269" s="27" t="n">
        <x:v>2110</x:v>
      </x:c>
      <x:c r="N269" s="27" t="n">
        <x:v>2257.2572681428364</x:v>
      </x:c>
      <x:c r="O269" s="27"/>
      <x:c r="P269" s="27"/>
      <x:c r="Q269" s="1" t="str">
        <x:v>EXCAVATION</x:v>
      </x:c>
      <x:c r="R269" s="1" t="str">
        <x:v>VENT_RETURN</x:v>
      </x:c>
    </x:row>
    <x:row r="270" ht="22" customHeight="1">
      <x:c r="A270" s="1" t="str">
        <x:v>CH-VENT-N01</x:v>
      </x:c>
      <x:c r="B270" s="1" t="str"/>
      <x:c r="C270" s="1" t="str"/>
      <x:c r="D270" s="1" t="str"/>
      <x:c r="E270" s="27" t="n">
        <x:v>30.836062433175513</x:v>
      </x:c>
      <x:c r="F270" s="27" t="n">
        <x:v>2.4</x:v>
      </x:c>
      <x:c r="G270" s="27" t="n">
        <x:v>2.4</x:v>
      </x:c>
      <x:c r="H270" s="27" t="n">
        <x:v>5.605486677646163</x:v>
      </x:c>
      <x:c r="I270" s="27" t="n">
        <x:f>IF(OR(E270="",E270&lt;=0),"n.a.",J270/E270)</x:f>
        <x:v>5.601860127405786</x:v>
      </x:c>
      <x:c r="J270" s="27" t="n">
        <x:v>172.73930863060136</x:v>
      </x:c>
      <x:c r="K270" s="27"/>
      <x:c r="L270" s="27"/>
      <x:c r="M270" s="27" t="n">
        <x:v>2210</x:v>
      </x:c>
      <x:c r="N270" s="27" t="n">
        <x:v>2212.4</x:v>
      </x:c>
      <x:c r="O270" s="27" t="n">
        <x:v>0</x:v>
      </x:c>
      <x:c r="P270" s="27"/>
      <x:c r="Q270" s="1" t="str">
        <x:v>EXCAVATION</x:v>
      </x:c>
      <x:c r="R270" s="1" t="str">
        <x:v>PEDESTRIAN_VENT_OR_PASS_LINK</x:v>
      </x:c>
    </x:row>
    <x:row r="271" ht="22" customHeight="1">
      <x:c r="A271" s="1" t="str">
        <x:v>CH-VENT-N02</x:v>
      </x:c>
      <x:c r="B271" s="1" t="str"/>
      <x:c r="C271" s="1" t="str"/>
      <x:c r="D271" s="1" t="str"/>
      <x:c r="E271" s="27" t="n">
        <x:v>26.98195256481176</x:v>
      </x:c>
      <x:c r="F271" s="27" t="n">
        <x:v>2.4</x:v>
      </x:c>
      <x:c r="G271" s="27" t="n">
        <x:v>2.4</x:v>
      </x:c>
      <x:c r="H271" s="27" t="n">
        <x:v>5.605486677646163</x:v>
      </x:c>
      <x:c r="I271" s="27" t="n">
        <x:f>IF(OR(E271="",E271&lt;=0),"n.a.",J271/E271)</x:f>
        <x:v>5.601860127406226</x:v>
      </x:c>
      <x:c r="J271" s="27" t="n">
        <x:v>151.14912423238516</x:v>
      </x:c>
      <x:c r="K271" s="27"/>
      <x:c r="L271" s="27"/>
      <x:c r="M271" s="27" t="n">
        <x:v>2190</x:v>
      </x:c>
      <x:c r="N271" s="27" t="n">
        <x:v>2192.4</x:v>
      </x:c>
      <x:c r="O271" s="27" t="n">
        <x:v>0</x:v>
      </x:c>
      <x:c r="P271" s="27"/>
      <x:c r="Q271" s="1" t="str">
        <x:v>EXCAVATION</x:v>
      </x:c>
      <x:c r="R271" s="1" t="str">
        <x:v>PEDESTRIAN_VENT_OR_PASS_LINK</x:v>
      </x:c>
    </x:row>
    <x:row r="272" ht="22" customHeight="1">
      <x:c r="A272" s="1" t="str">
        <x:v>CH-VENT-N03</x:v>
      </x:c>
      <x:c r="B272" s="1" t="str"/>
      <x:c r="C272" s="1" t="str"/>
      <x:c r="D272" s="1" t="str"/>
      <x:c r="E272" s="27" t="n">
        <x:v>23.71974278562898</x:v>
      </x:c>
      <x:c r="F272" s="27" t="n">
        <x:v>2.4</x:v>
      </x:c>
      <x:c r="G272" s="27" t="n">
        <x:v>2.4</x:v>
      </x:c>
      <x:c r="H272" s="27" t="n">
        <x:v>5.605486677646163</x:v>
      </x:c>
      <x:c r="I272" s="27" t="n">
        <x:f>IF(OR(E272="",E272&lt;=0),"n.a.",J272/E272)</x:f>
        <x:v>5.601860127406574</x:v>
      </x:c>
      <x:c r="J272" s="27" t="n">
        <x:v>132.87468134315472</x:v>
      </x:c>
      <x:c r="K272" s="27"/>
      <x:c r="L272" s="27"/>
      <x:c r="M272" s="27" t="n">
        <x:v>2170</x:v>
      </x:c>
      <x:c r="N272" s="27" t="n">
        <x:v>2172.4</x:v>
      </x:c>
      <x:c r="O272" s="27" t="n">
        <x:v>0</x:v>
      </x:c>
      <x:c r="P272" s="27"/>
      <x:c r="Q272" s="1" t="str">
        <x:v>EXCAVATION</x:v>
      </x:c>
      <x:c r="R272" s="1" t="str">
        <x:v>PEDESTRIAN_VENT_OR_PASS_LINK</x:v>
      </x:c>
    </x:row>
    <x:row r="273" ht="22" customHeight="1">
      <x:c r="A273" s="1" t="str">
        <x:v>CH-VENT-N04</x:v>
      </x:c>
      <x:c r="B273" s="1" t="str"/>
      <x:c r="C273" s="1" t="str"/>
      <x:c r="D273" s="1" t="str"/>
      <x:c r="E273" s="27" t="n">
        <x:v>21.32285269851661</x:v>
      </x:c>
      <x:c r="F273" s="27" t="n">
        <x:v>2.4</x:v>
      </x:c>
      <x:c r="G273" s="27" t="n">
        <x:v>2.4</x:v>
      </x:c>
      <x:c r="H273" s="27" t="n">
        <x:v>5.605486677646163</x:v>
      </x:c>
      <x:c r="I273" s="27" t="n">
        <x:f>IF(OR(E273="",E273&lt;=0),"n.a.",J273/E273)</x:f>
        <x:v>5.601860127407256</x:v>
      </x:c>
      <x:c r="J273" s="27" t="n">
        <x:v>119.4476383343984</x:v>
      </x:c>
      <x:c r="K273" s="27"/>
      <x:c r="L273" s="27"/>
      <x:c r="M273" s="27" t="n">
        <x:v>2150</x:v>
      </x:c>
      <x:c r="N273" s="27" t="n">
        <x:v>2152.4</x:v>
      </x:c>
      <x:c r="O273" s="27" t="n">
        <x:v>0</x:v>
      </x:c>
      <x:c r="P273" s="27"/>
      <x:c r="Q273" s="1" t="str">
        <x:v>EXCAVATION</x:v>
      </x:c>
      <x:c r="R273" s="1" t="str">
        <x:v>PEDESTRIAN_VENT_OR_PASS_LINK</x:v>
      </x:c>
    </x:row>
    <x:row r="274" ht="22" customHeight="1">
      <x:c r="A274" s="1" t="str">
        <x:v>CH-VENT-N05</x:v>
      </x:c>
      <x:c r="B274" s="1" t="str"/>
      <x:c r="C274" s="1" t="str"/>
      <x:c r="D274" s="1" t="str"/>
      <x:c r="E274" s="27" t="n">
        <x:v>20.103216468228876</x:v>
      </x:c>
      <x:c r="F274" s="27" t="n">
        <x:v>2.4</x:v>
      </x:c>
      <x:c r="G274" s="27" t="n">
        <x:v>2.4</x:v>
      </x:c>
      <x:c r="H274" s="27" t="n">
        <x:v>5.605486677646163</x:v>
      </x:c>
      <x:c r="I274" s="27" t="n">
        <x:f>IF(OR(E274="",E274&lt;=0),"n.a.",J274/E274)</x:f>
        <x:v>5.601860127409151</x:v>
      </x:c>
      <x:c r="J274" s="27" t="n">
        <x:v>112.61540676604636</x:v>
      </x:c>
      <x:c r="K274" s="27"/>
      <x:c r="L274" s="27"/>
      <x:c r="M274" s="27" t="n">
        <x:v>2130</x:v>
      </x:c>
      <x:c r="N274" s="27" t="n">
        <x:v>2132.4</x:v>
      </x:c>
      <x:c r="O274" s="27" t="n">
        <x:v>0</x:v>
      </x:c>
      <x:c r="P274" s="27"/>
      <x:c r="Q274" s="1" t="str">
        <x:v>EXCAVATION</x:v>
      </x:c>
      <x:c r="R274" s="1" t="str">
        <x:v>PEDESTRIAN_VENT_OR_PASS_LINK</x:v>
      </x:c>
    </x:row>
    <x:row r="275" ht="22" customHeight="1">
      <x:c r="A275" s="1" t="str">
        <x:v>CH-VENT-N06</x:v>
      </x:c>
      <x:c r="B275" s="1" t="str"/>
      <x:c r="C275" s="1" t="str"/>
      <x:c r="D275" s="1" t="str"/>
      <x:c r="E275" s="27" t="n">
        <x:v>20.274417212681918</x:v>
      </x:c>
      <x:c r="F275" s="27" t="n">
        <x:v>2.4</x:v>
      </x:c>
      <x:c r="G275" s="27" t="n">
        <x:v>2.4</x:v>
      </x:c>
      <x:c r="H275" s="27" t="n">
        <x:v>5.605486677646163</x:v>
      </x:c>
      <x:c r="I275" s="27" t="n">
        <x:f>IF(OR(E275="",E275&lt;=0),"n.a.",J275/E275)</x:f>
        <x:v>5.60186012740662</x:v>
      </x:c>
      <x:c r="J275" s="27" t="n">
        <x:v>113.5744493901293</x:v>
      </x:c>
      <x:c r="K275" s="27"/>
      <x:c r="L275" s="27"/>
      <x:c r="M275" s="27" t="n">
        <x:v>2110</x:v>
      </x:c>
      <x:c r="N275" s="27" t="n">
        <x:v>2112.4</x:v>
      </x:c>
      <x:c r="O275" s="27" t="n">
        <x:v>0</x:v>
      </x:c>
      <x:c r="P275" s="27"/>
      <x:c r="Q275" s="1" t="str">
        <x:v>EXCAVATION</x:v>
      </x:c>
      <x:c r="R275" s="1" t="str">
        <x:v>PEDESTRIAN_VENT_OR_PASS_LINK</x:v>
      </x:c>
    </x:row>
    <x:row r="276" ht="22" customHeight="1">
      <x:c r="A276" s="1" t="str">
        <x:v>CH-VENT-COLLAR</x:v>
      </x:c>
      <x:c r="B276" s="1" t="str"/>
      <x:c r="C276" s="1" t="str"/>
      <x:c r="D276" s="1" t="str"/>
      <x:c r="E276" s="27"/>
      <x:c r="F276" s="27"/>
      <x:c r="G276" s="27"/>
      <x:c r="H276" s="27"/>
      <x:c r="I276" s="27" t="str">
        <x:f>IF(OR(E276="",E276&lt;=0),"n.a.",J276/E276)</x:f>
        <x:v>n.a.</x:v>
      </x:c>
      <x:c r="J276" s="27" t="n">
        <x:v>11.552000000002105</x:v>
      </x:c>
      <x:c r="K276" s="27"/>
      <x:c r="L276" s="27"/>
      <x:c r="M276" s="27" t="n">
        <x:v>2256.4572681428363</x:v>
      </x:c>
      <x:c r="N276" s="27" t="n">
        <x:v>2257.2572681428364</x:v>
      </x:c>
      <x:c r="O276" s="27"/>
      <x:c r="P276" s="27"/>
      <x:c r="Q276" s="1" t="str">
        <x:v>REFERENCE</x:v>
      </x:c>
      <x:c r="R276" s="1" t="str">
        <x:v>SURFACE_COLLAR</x:v>
      </x:c>
    </x:row>
    <x:row r="277" ht="22" customHeight="1">
      <x:c r="A277" s="1" t="str">
        <x:v>CH-ESC</x:v>
      </x:c>
      <x:c r="B277" s="1" t="str">
        <x:v>SERVICE</x:v>
      </x:c>
      <x:c r="C277" s="1" t="str"/>
      <x:c r="D277" s="1" t="str"/>
      <x:c r="E277" s="27" t="n">
        <x:v>130.45443240208124</x:v>
      </x:c>
      <x:c r="F277" s="27" t="n">
        <x:v>3</x:v>
      </x:c>
      <x:c r="G277" s="27" t="n">
        <x:v>3</x:v>
      </x:c>
      <x:c r="H277" s="27" t="n">
        <x:v>9</x:v>
      </x:c>
      <x:c r="I277" s="27" t="n">
        <x:f>IF(OR(E277="",E277&lt;=0),"n.a.",J277/E277)</x:f>
        <x:v>9.000000000001247</x:v>
      </x:c>
      <x:c r="J277" s="27" t="n">
        <x:v>1174.0898916188937</x:v>
      </x:c>
      <x:c r="K277" s="27"/>
      <x:c r="L277" s="27"/>
      <x:c r="M277" s="27" t="n">
        <x:v>2110</x:v>
      </x:c>
      <x:c r="N277" s="27" t="n">
        <x:v>2240.4544324020812</x:v>
      </x:c>
      <x:c r="O277" s="27"/>
      <x:c r="P277" s="27"/>
      <x:c r="Q277" s="1" t="str">
        <x:v>EXCAVATION</x:v>
      </x:c>
      <x:c r="R277" s="1" t="str">
        <x:v>ESCAPE_RAISE</x:v>
      </x:c>
    </x:row>
    <x:row r="278" ht="22" customHeight="1">
      <x:c r="A278" s="1" t="str">
        <x:v>CH-ESC-N01</x:v>
      </x:c>
      <x:c r="B278" s="1" t="str"/>
      <x:c r="C278" s="1" t="str"/>
      <x:c r="D278" s="1" t="str"/>
      <x:c r="E278" s="27" t="n">
        <x:v>6.529534593819875</x:v>
      </x:c>
      <x:c r="F278" s="27" t="n">
        <x:v>2.4</x:v>
      </x:c>
      <x:c r="G278" s="27" t="n">
        <x:v>2.4</x:v>
      </x:c>
      <x:c r="H278" s="27" t="n">
        <x:v>5.605486677646163</x:v>
      </x:c>
      <x:c r="I278" s="27" t="n">
        <x:f>IF(OR(E278="",E278&lt;=0),"n.a.",J278/E278)</x:f>
        <x:v>5.6018601274066295</x:v>
      </x:c>
      <x:c r="J278" s="27" t="n">
        <x:v>36.5775394916418</x:v>
      </x:c>
      <x:c r="K278" s="27"/>
      <x:c r="L278" s="27"/>
      <x:c r="M278" s="27" t="n">
        <x:v>2210</x:v>
      </x:c>
      <x:c r="N278" s="27" t="n">
        <x:v>2212.4</x:v>
      </x:c>
      <x:c r="O278" s="27" t="n">
        <x:v>0</x:v>
      </x:c>
      <x:c r="P278" s="27"/>
      <x:c r="Q278" s="1" t="str">
        <x:v>EXCAVATION</x:v>
      </x:c>
      <x:c r="R278" s="1" t="str">
        <x:v>PEDESTRIAN_VENT_OR_PASS_LINK</x:v>
      </x:c>
    </x:row>
    <x:row r="279" ht="22" customHeight="1">
      <x:c r="A279" s="1" t="str">
        <x:v>CH-ESC-N02</x:v>
      </x:c>
      <x:c r="B279" s="1" t="str"/>
      <x:c r="C279" s="1" t="str"/>
      <x:c r="D279" s="1" t="str"/>
      <x:c r="E279" s="27" t="n">
        <x:v>11.888518442442326</x:v>
      </x:c>
      <x:c r="F279" s="27" t="n">
        <x:v>2.4</x:v>
      </x:c>
      <x:c r="G279" s="27" t="n">
        <x:v>2.4</x:v>
      </x:c>
      <x:c r="H279" s="27" t="n">
        <x:v>5.605486677646163</x:v>
      </x:c>
      <x:c r="I279" s="27" t="n">
        <x:f>IF(OR(E279="",E279&lt;=0),"n.a.",J279/E279)</x:f>
        <x:v>5.60186012740623</x:v>
      </x:c>
      <x:c r="J279" s="27" t="n">
        <x:v>66.59781743665128</x:v>
      </x:c>
      <x:c r="K279" s="27"/>
      <x:c r="L279" s="27"/>
      <x:c r="M279" s="27" t="n">
        <x:v>2190</x:v>
      </x:c>
      <x:c r="N279" s="27" t="n">
        <x:v>2192.4</x:v>
      </x:c>
      <x:c r="O279" s="27" t="n">
        <x:v>0</x:v>
      </x:c>
      <x:c r="P279" s="27"/>
      <x:c r="Q279" s="1" t="str">
        <x:v>EXCAVATION</x:v>
      </x:c>
      <x:c r="R279" s="1" t="str">
        <x:v>PEDESTRIAN_VENT_OR_PASS_LINK</x:v>
      </x:c>
    </x:row>
    <x:row r="280" ht="22" customHeight="1">
      <x:c r="A280" s="1" t="str">
        <x:v>CH-ESC-N03</x:v>
      </x:c>
      <x:c r="B280" s="1" t="str"/>
      <x:c r="C280" s="1" t="str"/>
      <x:c r="D280" s="1" t="str"/>
      <x:c r="E280" s="27" t="n">
        <x:v>17.247502291064777</x:v>
      </x:c>
      <x:c r="F280" s="27" t="n">
        <x:v>2.4</x:v>
      </x:c>
      <x:c r="G280" s="27" t="n">
        <x:v>2.4</x:v>
      </x:c>
      <x:c r="H280" s="27" t="n">
        <x:v>5.605486677646163</x:v>
      </x:c>
      <x:c r="I280" s="27" t="n">
        <x:f>IF(OR(E280="",E280&lt;=0),"n.a.",J280/E280)</x:f>
        <x:v>5.601860127407767</x:v>
      </x:c>
      <x:c r="J280" s="27" t="n">
        <x:v>96.61809538168988</x:v>
      </x:c>
      <x:c r="K280" s="27"/>
      <x:c r="L280" s="27"/>
      <x:c r="M280" s="27" t="n">
        <x:v>2170</x:v>
      </x:c>
      <x:c r="N280" s="27" t="n">
        <x:v>2172.4</x:v>
      </x:c>
      <x:c r="O280" s="27" t="n">
        <x:v>0</x:v>
      </x:c>
      <x:c r="P280" s="27"/>
      <x:c r="Q280" s="1" t="str">
        <x:v>EXCAVATION</x:v>
      </x:c>
      <x:c r="R280" s="1" t="str">
        <x:v>PEDESTRIAN_VENT_OR_PASS_LINK</x:v>
      </x:c>
    </x:row>
    <x:row r="281" ht="22" customHeight="1">
      <x:c r="A281" s="1" t="str">
        <x:v>CH-ESC-N04</x:v>
      </x:c>
      <x:c r="B281" s="1" t="str"/>
      <x:c r="C281" s="1" t="str"/>
      <x:c r="D281" s="1" t="str"/>
      <x:c r="E281" s="27" t="n">
        <x:v>22.606486139687235</x:v>
      </x:c>
      <x:c r="F281" s="27" t="n">
        <x:v>2.4</x:v>
      </x:c>
      <x:c r="G281" s="27" t="n">
        <x:v>2.4</x:v>
      </x:c>
      <x:c r="H281" s="27" t="n">
        <x:v>5.605486677646163</x:v>
      </x:c>
      <x:c r="I281" s="27" t="n">
        <x:f>IF(OR(E281="",E281&lt;=0),"n.a.",J281/E281)</x:f>
        <x:v>5.601860127406856</x:v>
      </x:c>
      <x:c r="J281" s="27" t="n">
        <x:v>126.63837332668966</x:v>
      </x:c>
      <x:c r="K281" s="27"/>
      <x:c r="L281" s="27"/>
      <x:c r="M281" s="27" t="n">
        <x:v>2150</x:v>
      </x:c>
      <x:c r="N281" s="27" t="n">
        <x:v>2152.4</x:v>
      </x:c>
      <x:c r="O281" s="27" t="n">
        <x:v>0</x:v>
      </x:c>
      <x:c r="P281" s="27"/>
      <x:c r="Q281" s="1" t="str">
        <x:v>EXCAVATION</x:v>
      </x:c>
      <x:c r="R281" s="1" t="str">
        <x:v>PEDESTRIAN_VENT_OR_PASS_LINK</x:v>
      </x:c>
    </x:row>
    <x:row r="282" ht="22" customHeight="1">
      <x:c r="A282" s="1" t="str">
        <x:v>CH-ESC-N05</x:v>
      </x:c>
      <x:c r="B282" s="1" t="str"/>
      <x:c r="C282" s="1" t="str"/>
      <x:c r="D282" s="1" t="str"/>
      <x:c r="E282" s="27" t="n">
        <x:v>27.965469988309685</x:v>
      </x:c>
      <x:c r="F282" s="27" t="n">
        <x:v>2.4</x:v>
      </x:c>
      <x:c r="G282" s="27" t="n">
        <x:v>2.4</x:v>
      </x:c>
      <x:c r="H282" s="27" t="n">
        <x:v>5.605486677646163</x:v>
      </x:c>
      <x:c r="I282" s="27" t="n">
        <x:f>IF(OR(E282="",E282&lt;=0),"n.a.",J282/E282)</x:f>
        <x:v>5.60186012740699</x:v>
      </x:c>
      <x:c r="J282" s="27" t="n">
        <x:v>156.65865127170886</x:v>
      </x:c>
      <x:c r="K282" s="27"/>
      <x:c r="L282" s="27"/>
      <x:c r="M282" s="27" t="n">
        <x:v>2130</x:v>
      </x:c>
      <x:c r="N282" s="27" t="n">
        <x:v>2132.4</x:v>
      </x:c>
      <x:c r="O282" s="27" t="n">
        <x:v>0</x:v>
      </x:c>
      <x:c r="P282" s="27"/>
      <x:c r="Q282" s="1" t="str">
        <x:v>EXCAVATION</x:v>
      </x:c>
      <x:c r="R282" s="1" t="str">
        <x:v>PEDESTRIAN_VENT_OR_PASS_LINK</x:v>
      </x:c>
    </x:row>
    <x:row r="283" ht="22" customHeight="1">
      <x:c r="A283" s="1" t="str">
        <x:v>CH-ESC-N06</x:v>
      </x:c>
      <x:c r="B283" s="1" t="str"/>
      <x:c r="C283" s="1" t="str"/>
      <x:c r="D283" s="1" t="str"/>
      <x:c r="E283" s="27" t="n">
        <x:v>33.324453836932136</x:v>
      </x:c>
      <x:c r="F283" s="27" t="n">
        <x:v>2.4</x:v>
      </x:c>
      <x:c r="G283" s="27" t="n">
        <x:v>2.4</x:v>
      </x:c>
      <x:c r="H283" s="27" t="n">
        <x:v>5.605486677646163</x:v>
      </x:c>
      <x:c r="I283" s="27" t="n">
        <x:f>IF(OR(E283="",E283&lt;=0),"n.a.",J283/E283)</x:f>
        <x:v>5.601860127406352</x:v>
      </x:c>
      <x:c r="J283" s="27" t="n">
        <x:v>186.67892921670378</x:v>
      </x:c>
      <x:c r="K283" s="27"/>
      <x:c r="L283" s="27"/>
      <x:c r="M283" s="27" t="n">
        <x:v>2110</x:v>
      </x:c>
      <x:c r="N283" s="27" t="n">
        <x:v>2112.4</x:v>
      </x:c>
      <x:c r="O283" s="27" t="n">
        <x:v>0</x:v>
      </x:c>
      <x:c r="P283" s="27"/>
      <x:c r="Q283" s="1" t="str">
        <x:v>EXCAVATION</x:v>
      </x:c>
      <x:c r="R283" s="1" t="str">
        <x:v>PEDESTRIAN_VENT_OR_PASS_LINK</x:v>
      </x:c>
    </x:row>
    <x:row r="284" ht="22" customHeight="1">
      <x:c r="A284" s="1" t="str">
        <x:v>CH-ESC-COLLAR</x:v>
      </x:c>
      <x:c r="B284" s="1" t="str"/>
      <x:c r="C284" s="1" t="str"/>
      <x:c r="D284" s="1" t="str"/>
      <x:c r="E284" s="27"/>
      <x:c r="F284" s="27"/>
      <x:c r="G284" s="27"/>
      <x:c r="H284" s="27"/>
      <x:c r="I284" s="27" t="str">
        <x:f>IF(OR(E284="",E284&lt;=0),"n.a.",J284/E284)</x:f>
        <x:v>n.a.</x:v>
      </x:c>
      <x:c r="J284" s="27" t="n">
        <x:v>11.552000000004531</x:v>
      </x:c>
      <x:c r="K284" s="27"/>
      <x:c r="L284" s="27"/>
      <x:c r="M284" s="27" t="n">
        <x:v>2239.654432402081</x:v>
      </x:c>
      <x:c r="N284" s="27" t="n">
        <x:v>2240.4544324020812</x:v>
      </x:c>
      <x:c r="O284" s="27"/>
      <x:c r="P284" s="27"/>
      <x:c r="Q284" s="1" t="str">
        <x:v>REFERENCE</x:v>
      </x:c>
      <x:c r="R284" s="1" t="str">
        <x:v>SURFACE_COLLAR</x:v>
      </x:c>
    </x:row>
    <x:row r="285" ht="22" customHeight="1">
      <x:c r="A285" s="1" t="str">
        <x:v>CH-ORE</x:v>
      </x:c>
      <x:c r="B285" s="1" t="str">
        <x:v>SERVICE</x:v>
      </x:c>
      <x:c r="C285" s="1" t="str"/>
      <x:c r="D285" s="1" t="str"/>
      <x:c r="E285" s="27" t="n">
        <x:v>137.8932922444601</x:v>
      </x:c>
      <x:c r="F285" s="27" t="n">
        <x:v>2.4</x:v>
      </x:c>
      <x:c r="G285" s="27" t="n">
        <x:v>2.4</x:v>
      </x:c>
      <x:c r="H285" s="27" t="n">
        <x:v>5.76</x:v>
      </x:c>
      <x:c r="I285" s="27" t="n">
        <x:f>IF(OR(E285="",E285&lt;=0),"n.a.",J285/E285)</x:f>
        <x:v>5.760000000001623</x:v>
      </x:c>
      <x:c r="J285" s="27" t="n">
        <x:v>794.265363328314</x:v>
      </x:c>
      <x:c r="K285" s="27"/>
      <x:c r="L285" s="27"/>
      <x:c r="M285" s="27" t="n">
        <x:v>2110</x:v>
      </x:c>
      <x:c r="N285" s="27" t="n">
        <x:v>2247.89329224446</x:v>
      </x:c>
      <x:c r="O285" s="27"/>
      <x:c r="P285" s="27"/>
      <x:c r="Q285" s="1" t="str">
        <x:v>EXCAVATION</x:v>
      </x:c>
      <x:c r="R285" s="1" t="str">
        <x:v>ORE_PASS</x:v>
      </x:c>
    </x:row>
    <x:row r="286" ht="22" customHeight="1">
      <x:c r="A286" s="1" t="str">
        <x:v>CH-ORE-N01</x:v>
      </x:c>
      <x:c r="B286" s="1" t="str"/>
      <x:c r="C286" s="1" t="str"/>
      <x:c r="D286" s="1" t="str"/>
      <x:c r="E286" s="27" t="n">
        <x:v>16.529534593819875</x:v>
      </x:c>
      <x:c r="F286" s="27" t="n">
        <x:v>2.4</x:v>
      </x:c>
      <x:c r="G286" s="27" t="n">
        <x:v>2.4</x:v>
      </x:c>
      <x:c r="H286" s="27" t="n">
        <x:v>5.605486677646163</x:v>
      </x:c>
      <x:c r="I286" s="27" t="n">
        <x:f>IF(OR(E286="",E286&lt;=0),"n.a.",J286/E286)</x:f>
        <x:v>5.601860127407694</x:v>
      </x:c>
      <x:c r="J286" s="27" t="n">
        <x:v>92.59614076572568</x:v>
      </x:c>
      <x:c r="K286" s="27"/>
      <x:c r="L286" s="27"/>
      <x:c r="M286" s="27" t="n">
        <x:v>2210</x:v>
      </x:c>
      <x:c r="N286" s="27" t="n">
        <x:v>2212.4</x:v>
      </x:c>
      <x:c r="O286" s="27" t="n">
        <x:v>0</x:v>
      </x:c>
      <x:c r="P286" s="27"/>
      <x:c r="Q286" s="1" t="str">
        <x:v>EXCAVATION</x:v>
      </x:c>
      <x:c r="R286" s="1" t="str">
        <x:v>PEDESTRIAN_VENT_OR_PASS_LINK</x:v>
      </x:c>
    </x:row>
    <x:row r="287" ht="22" customHeight="1">
      <x:c r="A287" s="1" t="str">
        <x:v>EST-OP-N01</x:v>
      </x:c>
      <x:c r="B287" s="1" t="str"/>
      <x:c r="C287" s="1" t="str"/>
      <x:c r="D287" s="1" t="str"/>
      <x:c r="E287" s="27" t="n">
        <x:v>7</x:v>
      </x:c>
      <x:c r="F287" s="27" t="n">
        <x:v>2.4</x:v>
      </x:c>
      <x:c r="G287" s="27" t="n">
        <x:v>2.4</x:v>
      </x:c>
      <x:c r="H287" s="27" t="n">
        <x:v>5.605486677646163</x:v>
      </x:c>
      <x:c r="I287" s="27" t="n">
        <x:f>IF(OR(E287="",E287&lt;=0),"n.a.",J287/E287)</x:f>
        <x:v>5.601860127408664</x:v>
      </x:c>
      <x:c r="J287" s="27" t="n">
        <x:v>39.21302089186065</x:v>
      </x:c>
      <x:c r="K287" s="27"/>
      <x:c r="L287" s="27"/>
      <x:c r="M287" s="27" t="n">
        <x:v>2210</x:v>
      </x:c>
      <x:c r="N287" s="27" t="n">
        <x:v>2212.4</x:v>
      </x:c>
      <x:c r="O287" s="27" t="n">
        <x:v>0</x:v>
      </x:c>
      <x:c r="P287" s="27"/>
      <x:c r="Q287" s="1" t="str">
        <x:v>EXCAVATION</x:v>
      </x:c>
      <x:c r="R287" s="1" t="str">
        <x:v>ORE_LOADING_TRANSFER_LINK</x:v>
      </x:c>
    </x:row>
    <x:row r="288" ht="22" customHeight="1">
      <x:c r="A288" s="1" t="str">
        <x:v>CH-ORE-N02</x:v>
      </x:c>
      <x:c r="B288" s="1" t="str"/>
      <x:c r="C288" s="1" t="str"/>
      <x:c r="D288" s="1" t="str"/>
      <x:c r="E288" s="27" t="n">
        <x:v>21.888518442442326</x:v>
      </x:c>
      <x:c r="F288" s="27" t="n">
        <x:v>2.4</x:v>
      </x:c>
      <x:c r="G288" s="27" t="n">
        <x:v>2.4</x:v>
      </x:c>
      <x:c r="H288" s="27" t="n">
        <x:v>5.605486677646163</x:v>
      </x:c>
      <x:c r="I288" s="27" t="n">
        <x:f>IF(OR(E288="",E288&lt;=0),"n.a.",J288/E288)</x:f>
        <x:v>5.601860127406551</x:v>
      </x:c>
      <x:c r="J288" s="27" t="n">
        <x:v>122.61641871072061</x:v>
      </x:c>
      <x:c r="K288" s="27"/>
      <x:c r="L288" s="27"/>
      <x:c r="M288" s="27" t="n">
        <x:v>2190</x:v>
      </x:c>
      <x:c r="N288" s="27" t="n">
        <x:v>2192.4</x:v>
      </x:c>
      <x:c r="O288" s="27" t="n">
        <x:v>0</x:v>
      </x:c>
      <x:c r="P288" s="27"/>
      <x:c r="Q288" s="1" t="str">
        <x:v>EXCAVATION</x:v>
      </x:c>
      <x:c r="R288" s="1" t="str">
        <x:v>PEDESTRIAN_VENT_OR_PASS_LINK</x:v>
      </x:c>
    </x:row>
    <x:row r="289" ht="22" customHeight="1">
      <x:c r="A289" s="1" t="str">
        <x:v>EST-OP-N02</x:v>
      </x:c>
      <x:c r="B289" s="1" t="str"/>
      <x:c r="C289" s="1" t="str"/>
      <x:c r="D289" s="1" t="str"/>
      <x:c r="E289" s="27" t="n">
        <x:v>7</x:v>
      </x:c>
      <x:c r="F289" s="27" t="n">
        <x:v>2.4</x:v>
      </x:c>
      <x:c r="G289" s="27" t="n">
        <x:v>2.4</x:v>
      </x:c>
      <x:c r="H289" s="27" t="n">
        <x:v>5.605486677646163</x:v>
      </x:c>
      <x:c r="I289" s="27" t="n">
        <x:f>IF(OR(E289="",E289&lt;=0),"n.a.",J289/E289)</x:f>
        <x:v>5.601860127405892</x:v>
      </x:c>
      <x:c r="J289" s="27" t="n">
        <x:v>39.213020891841246</x:v>
      </x:c>
      <x:c r="K289" s="27"/>
      <x:c r="L289" s="27"/>
      <x:c r="M289" s="27" t="n">
        <x:v>2190</x:v>
      </x:c>
      <x:c r="N289" s="27" t="n">
        <x:v>2192.4</x:v>
      </x:c>
      <x:c r="O289" s="27" t="n">
        <x:v>0</x:v>
      </x:c>
      <x:c r="P289" s="27"/>
      <x:c r="Q289" s="1" t="str">
        <x:v>EXCAVATION</x:v>
      </x:c>
      <x:c r="R289" s="1" t="str">
        <x:v>ORE_LOADING_TRANSFER_LINK</x:v>
      </x:c>
    </x:row>
    <x:row r="290" ht="22" customHeight="1">
      <x:c r="A290" s="1" t="str">
        <x:v>CH-ORE-N03</x:v>
      </x:c>
      <x:c r="B290" s="1" t="str"/>
      <x:c r="C290" s="1" t="str"/>
      <x:c r="D290" s="1" t="str"/>
      <x:c r="E290" s="27" t="n">
        <x:v>27.247502291064777</x:v>
      </x:c>
      <x:c r="F290" s="27" t="n">
        <x:v>2.4</x:v>
      </x:c>
      <x:c r="G290" s="27" t="n">
        <x:v>2.4</x:v>
      </x:c>
      <x:c r="H290" s="27" t="n">
        <x:v>5.605486677646163</x:v>
      </x:c>
      <x:c r="I290" s="27" t="n">
        <x:f>IF(OR(E290="",E290&lt;=0),"n.a.",J290/E290)</x:f>
        <x:v>5.601860127407816</x:v>
      </x:c>
      <x:c r="J290" s="27" t="n">
        <x:v>152.6366966557689</x:v>
      </x:c>
      <x:c r="K290" s="27"/>
      <x:c r="L290" s="27"/>
      <x:c r="M290" s="27" t="n">
        <x:v>2170</x:v>
      </x:c>
      <x:c r="N290" s="27" t="n">
        <x:v>2172.4</x:v>
      </x:c>
      <x:c r="O290" s="27" t="n">
        <x:v>0</x:v>
      </x:c>
      <x:c r="P290" s="27"/>
      <x:c r="Q290" s="1" t="str">
        <x:v>EXCAVATION</x:v>
      </x:c>
      <x:c r="R290" s="1" t="str">
        <x:v>PEDESTRIAN_VENT_OR_PASS_LINK</x:v>
      </x:c>
    </x:row>
    <x:row r="291" ht="22" customHeight="1">
      <x:c r="A291" s="1" t="str">
        <x:v>EST-OP-N03</x:v>
      </x:c>
      <x:c r="B291" s="1" t="str"/>
      <x:c r="C291" s="1" t="str"/>
      <x:c r="D291" s="1" t="str"/>
      <x:c r="E291" s="27" t="n">
        <x:v>7</x:v>
      </x:c>
      <x:c r="F291" s="27" t="n">
        <x:v>2.4</x:v>
      </x:c>
      <x:c r="G291" s="27" t="n">
        <x:v>2.4</x:v>
      </x:c>
      <x:c r="H291" s="27" t="n">
        <x:v>5.605486677646163</x:v>
      </x:c>
      <x:c r="I291" s="27" t="n">
        <x:f>IF(OR(E291="",E291&lt;=0),"n.a.",J291/E291)</x:f>
        <x:v>5.6018601274052005</x:v>
      </x:c>
      <x:c r="J291" s="27" t="n">
        <x:v>39.2130208918364</x:v>
      </x:c>
      <x:c r="K291" s="27"/>
      <x:c r="L291" s="27"/>
      <x:c r="M291" s="27" t="n">
        <x:v>2170</x:v>
      </x:c>
      <x:c r="N291" s="27" t="n">
        <x:v>2172.4</x:v>
      </x:c>
      <x:c r="O291" s="27" t="n">
        <x:v>0</x:v>
      </x:c>
      <x:c r="P291" s="27"/>
      <x:c r="Q291" s="1" t="str">
        <x:v>EXCAVATION</x:v>
      </x:c>
      <x:c r="R291" s="1" t="str">
        <x:v>ORE_LOADING_TRANSFER_LINK</x:v>
      </x:c>
    </x:row>
    <x:row r="292" ht="22" customHeight="1">
      <x:c r="A292" s="1" t="str">
        <x:v>CH-ORE-N04</x:v>
      </x:c>
      <x:c r="B292" s="1" t="str"/>
      <x:c r="C292" s="1" t="str"/>
      <x:c r="D292" s="1" t="str"/>
      <x:c r="E292" s="27" t="n">
        <x:v>32.606486139687235</x:v>
      </x:c>
      <x:c r="F292" s="27" t="n">
        <x:v>2.4</x:v>
      </x:c>
      <x:c r="G292" s="27" t="n">
        <x:v>2.4</x:v>
      </x:c>
      <x:c r="H292" s="27" t="n">
        <x:v>5.605486677646163</x:v>
      </x:c>
      <x:c r="I292" s="27" t="n">
        <x:f>IF(OR(E292="",E292&lt;=0),"n.a.",J292/E292)</x:f>
        <x:v>5.60186012740688</x:v>
      </x:c>
      <x:c r="J292" s="27" t="n">
        <x:v>182.65697460075899</x:v>
      </x:c>
      <x:c r="K292" s="27"/>
      <x:c r="L292" s="27"/>
      <x:c r="M292" s="27" t="n">
        <x:v>2150</x:v>
      </x:c>
      <x:c r="N292" s="27" t="n">
        <x:v>2152.4</x:v>
      </x:c>
      <x:c r="O292" s="27" t="n">
        <x:v>0</x:v>
      </x:c>
      <x:c r="P292" s="27"/>
      <x:c r="Q292" s="1" t="str">
        <x:v>EXCAVATION</x:v>
      </x:c>
      <x:c r="R292" s="1" t="str">
        <x:v>PEDESTRIAN_VENT_OR_PASS_LINK</x:v>
      </x:c>
    </x:row>
    <x:row r="293" ht="22" customHeight="1">
      <x:c r="A293" s="1" t="str">
        <x:v>EST-OP-N04</x:v>
      </x:c>
      <x:c r="B293" s="1" t="str"/>
      <x:c r="C293" s="1" t="str"/>
      <x:c r="D293" s="1" t="str"/>
      <x:c r="E293" s="27" t="n">
        <x:v>7</x:v>
      </x:c>
      <x:c r="F293" s="27" t="n">
        <x:v>2.4</x:v>
      </x:c>
      <x:c r="G293" s="27" t="n">
        <x:v>2.4</x:v>
      </x:c>
      <x:c r="H293" s="27" t="n">
        <x:v>5.605486677646163</x:v>
      </x:c>
      <x:c r="I293" s="27" t="n">
        <x:f>IF(OR(E293="",E293&lt;=0),"n.a.",J293/E293)</x:f>
        <x:v>5.60186012740624</x:v>
      </x:c>
      <x:c r="J293" s="27" t="n">
        <x:v>39.21302089184368</x:v>
      </x:c>
      <x:c r="K293" s="27"/>
      <x:c r="L293" s="27"/>
      <x:c r="M293" s="27" t="n">
        <x:v>2150</x:v>
      </x:c>
      <x:c r="N293" s="27" t="n">
        <x:v>2152.4</x:v>
      </x:c>
      <x:c r="O293" s="27" t="n">
        <x:v>0</x:v>
      </x:c>
      <x:c r="P293" s="27"/>
      <x:c r="Q293" s="1" t="str">
        <x:v>EXCAVATION</x:v>
      </x:c>
      <x:c r="R293" s="1" t="str">
        <x:v>ORE_LOADING_TRANSFER_LINK</x:v>
      </x:c>
    </x:row>
    <x:row r="294" ht="22" customHeight="1">
      <x:c r="A294" s="1" t="str">
        <x:v>CH-ORE-N05</x:v>
      </x:c>
      <x:c r="B294" s="1" t="str"/>
      <x:c r="C294" s="1" t="str"/>
      <x:c r="D294" s="1" t="str"/>
      <x:c r="E294" s="27" t="n">
        <x:v>37.965469988309685</x:v>
      </x:c>
      <x:c r="F294" s="27" t="n">
        <x:v>2.4</x:v>
      </x:c>
      <x:c r="G294" s="27" t="n">
        <x:v>2.4</x:v>
      </x:c>
      <x:c r="H294" s="27" t="n">
        <x:v>5.605486677646163</x:v>
      </x:c>
      <x:c r="I294" s="27" t="n">
        <x:f>IF(OR(E294="",E294&lt;=0),"n.a.",J294/E294)</x:f>
        <x:v>5.601860127406081</x:v>
      </x:c>
      <x:c r="J294" s="27" t="n">
        <x:v>212.6772525457442</x:v>
      </x:c>
      <x:c r="K294" s="27"/>
      <x:c r="L294" s="27"/>
      <x:c r="M294" s="27" t="n">
        <x:v>2130</x:v>
      </x:c>
      <x:c r="N294" s="27" t="n">
        <x:v>2132.4</x:v>
      </x:c>
      <x:c r="O294" s="27" t="n">
        <x:v>0</x:v>
      </x:c>
      <x:c r="P294" s="27"/>
      <x:c r="Q294" s="1" t="str">
        <x:v>EXCAVATION</x:v>
      </x:c>
      <x:c r="R294" s="1" t="str">
        <x:v>PEDESTRIAN_VENT_OR_PASS_LINK</x:v>
      </x:c>
    </x:row>
    <x:row r="295" ht="22" customHeight="1">
      <x:c r="A295" s="1" t="str">
        <x:v>EST-OP-N05</x:v>
      </x:c>
      <x:c r="B295" s="1" t="str"/>
      <x:c r="C295" s="1" t="str"/>
      <x:c r="D295" s="1" t="str"/>
      <x:c r="E295" s="27" t="n">
        <x:v>7</x:v>
      </x:c>
      <x:c r="F295" s="27" t="n">
        <x:v>2.4</x:v>
      </x:c>
      <x:c r="G295" s="27" t="n">
        <x:v>2.4</x:v>
      </x:c>
      <x:c r="H295" s="27" t="n">
        <x:v>5.605486677646163</x:v>
      </x:c>
      <x:c r="I295" s="27" t="n">
        <x:f>IF(OR(E295="",E295&lt;=0),"n.a.",J295/E295)</x:f>
        <x:v>5.601860127409011</x:v>
      </x:c>
      <x:c r="J295" s="27" t="n">
        <x:v>39.213020891863074</x:v>
      </x:c>
      <x:c r="K295" s="27"/>
      <x:c r="L295" s="27"/>
      <x:c r="M295" s="27" t="n">
        <x:v>2130</x:v>
      </x:c>
      <x:c r="N295" s="27" t="n">
        <x:v>2132.4</x:v>
      </x:c>
      <x:c r="O295" s="27" t="n">
        <x:v>0</x:v>
      </x:c>
      <x:c r="P295" s="27"/>
      <x:c r="Q295" s="1" t="str">
        <x:v>EXCAVATION</x:v>
      </x:c>
      <x:c r="R295" s="1" t="str">
        <x:v>ORE_LOADING_TRANSFER_LINK</x:v>
      </x:c>
    </x:row>
    <x:row r="296" ht="22" customHeight="1">
      <x:c r="A296" s="1" t="str">
        <x:v>CH-ORE-N06</x:v>
      </x:c>
      <x:c r="B296" s="1" t="str"/>
      <x:c r="C296" s="1" t="str"/>
      <x:c r="D296" s="1" t="str"/>
      <x:c r="E296" s="27" t="n">
        <x:v>43.324453836932136</x:v>
      </x:c>
      <x:c r="F296" s="27" t="n">
        <x:v>2.4</x:v>
      </x:c>
      <x:c r="G296" s="27" t="n">
        <x:v>2.4</x:v>
      </x:c>
      <x:c r="H296" s="27" t="n">
        <x:v>5.605486677646163</x:v>
      </x:c>
      <x:c r="I296" s="27" t="n">
        <x:f>IF(OR(E296="",E296&lt;=0),"n.a.",J296/E296)</x:f>
        <x:v>5.601860127406263</x:v>
      </x:c>
      <x:c r="J296" s="27" t="n">
        <x:v>242.6975304907634</x:v>
      </x:c>
      <x:c r="K296" s="27"/>
      <x:c r="L296" s="27"/>
      <x:c r="M296" s="27" t="n">
        <x:v>2110</x:v>
      </x:c>
      <x:c r="N296" s="27" t="n">
        <x:v>2112.4</x:v>
      </x:c>
      <x:c r="O296" s="27" t="n">
        <x:v>0</x:v>
      </x:c>
      <x:c r="P296" s="27"/>
      <x:c r="Q296" s="1" t="str">
        <x:v>EXCAVATION</x:v>
      </x:c>
      <x:c r="R296" s="1" t="str">
        <x:v>PEDESTRIAN_VENT_OR_PASS_LINK</x:v>
      </x:c>
    </x:row>
    <x:row r="297" ht="22" customHeight="1">
      <x:c r="A297" s="1" t="str">
        <x:v>EST-OP-N06</x:v>
      </x:c>
      <x:c r="B297" s="1" t="str"/>
      <x:c r="C297" s="1" t="str"/>
      <x:c r="D297" s="1" t="str"/>
      <x:c r="E297" s="27" t="n">
        <x:v>7</x:v>
      </x:c>
      <x:c r="F297" s="27" t="n">
        <x:v>2.4</x:v>
      </x:c>
      <x:c r="G297" s="27" t="n">
        <x:v>2.4</x:v>
      </x:c>
      <x:c r="H297" s="27" t="n">
        <x:v>5.605486677646163</x:v>
      </x:c>
      <x:c r="I297" s="27" t="n">
        <x:f>IF(OR(E297="",E297&lt;=0),"n.a.",J297/E297)</x:f>
        <x:v>5.60186012740624</x:v>
      </x:c>
      <x:c r="J297" s="27" t="n">
        <x:v>39.21302089184368</x:v>
      </x:c>
      <x:c r="K297" s="27"/>
      <x:c r="L297" s="27"/>
      <x:c r="M297" s="27" t="n">
        <x:v>2110</x:v>
      </x:c>
      <x:c r="N297" s="27" t="n">
        <x:v>2112.4</x:v>
      </x:c>
      <x:c r="O297" s="27" t="n">
        <x:v>0</x:v>
      </x:c>
      <x:c r="P297" s="27"/>
      <x:c r="Q297" s="1" t="str">
        <x:v>EXCAVATION</x:v>
      </x:c>
      <x:c r="R297" s="1" t="str">
        <x:v>ORE_LOADING_TRANSFER_LINK</x:v>
      </x:c>
    </x:row>
    <x:row r="298" ht="22" customHeight="1">
      <x:c r="A298" s="1" t="str">
        <x:v>CH-ORE-COLLAR</x:v>
      </x:c>
      <x:c r="B298" s="1" t="str"/>
      <x:c r="C298" s="1" t="str"/>
      <x:c r="D298" s="1" t="str"/>
      <x:c r="E298" s="27"/>
      <x:c r="F298" s="27"/>
      <x:c r="G298" s="27"/>
      <x:c r="H298" s="27"/>
      <x:c r="I298" s="27" t="str">
        <x:f>IF(OR(E298="",E298&lt;=0),"n.a.",J298/E298)</x:f>
        <x:v>n.a.</x:v>
      </x:c>
      <x:c r="J298" s="27" t="n">
        <x:v>8.192000000001523</x:v>
      </x:c>
      <x:c r="K298" s="27"/>
      <x:c r="L298" s="27"/>
      <x:c r="M298" s="27" t="n">
        <x:v>2247.09329224446</x:v>
      </x:c>
      <x:c r="N298" s="27" t="n">
        <x:v>2247.89329224446</x:v>
      </x:c>
      <x:c r="O298" s="27"/>
      <x:c r="P298" s="27"/>
      <x:c r="Q298" s="1" t="str">
        <x:v>REFERENCE</x:v>
      </x:c>
      <x:c r="R298" s="1" t="str">
        <x:v>SURFACE_COLLAR</x:v>
      </x:c>
    </x:row>
    <x:row r="299" ht="22" customHeight="1">
      <x:c r="A299" s="1" t="str">
        <x:v>CH-RLL</x:v>
      </x:c>
      <x:c r="B299" s="1" t="str">
        <x:v>SERVICE</x:v>
      </x:c>
      <x:c r="C299" s="1" t="str"/>
      <x:c r="D299" s="1" t="str"/>
      <x:c r="E299" s="27" t="n">
        <x:v>130.98937157629598</x:v>
      </x:c>
      <x:c r="F299" s="27" t="n">
        <x:v>2.4</x:v>
      </x:c>
      <x:c r="G299" s="27" t="n">
        <x:v>2.4</x:v>
      </x:c>
      <x:c r="H299" s="27" t="n">
        <x:v>5.76</x:v>
      </x:c>
      <x:c r="I299" s="27" t="n">
        <x:f>IF(OR(E299="",E299&lt;=0),"n.a.",J299/E299)</x:f>
        <x:v>5.7600000000008444</x:v>
      </x:c>
      <x:c r="J299" s="27" t="n">
        <x:v>754.4987802795755</x:v>
      </x:c>
      <x:c r="K299" s="27"/>
      <x:c r="L299" s="27"/>
      <x:c r="M299" s="27" t="n">
        <x:v>2110</x:v>
      </x:c>
      <x:c r="N299" s="27" t="n">
        <x:v>2240.989371576296</x:v>
      </x:c>
      <x:c r="O299" s="27"/>
      <x:c r="P299" s="27"/>
      <x:c r="Q299" s="1" t="str">
        <x:v>EXCAVATION</x:v>
      </x:c>
      <x:c r="R299" s="1" t="str">
        <x:v>FILL_PASS</x:v>
      </x:c>
    </x:row>
    <x:row r="300" ht="22" customHeight="1">
      <x:c r="A300" s="1" t="str">
        <x:v>CH-RLL-N01</x:v>
      </x:c>
      <x:c r="B300" s="1" t="str"/>
      <x:c r="C300" s="1" t="str"/>
      <x:c r="D300" s="1" t="str"/>
      <x:c r="E300" s="27" t="n">
        <x:v>62.84414067112147</x:v>
      </x:c>
      <x:c r="F300" s="27" t="n">
        <x:v>2.4</x:v>
      </x:c>
      <x:c r="G300" s="27" t="n">
        <x:v>2.4</x:v>
      </x:c>
      <x:c r="H300" s="27" t="n">
        <x:v>5.605486677646163</x:v>
      </x:c>
      <x:c r="I300" s="27" t="n">
        <x:f>IF(OR(E300="",E300&lt;=0),"n.a.",J300/E300)</x:f>
        <x:v>5.6018601274068685</x:v>
      </x:c>
      <x:c r="J300" s="27" t="n">
        <x:v>352.0440858667037</x:v>
      </x:c>
      <x:c r="K300" s="27"/>
      <x:c r="L300" s="27"/>
      <x:c r="M300" s="27" t="n">
        <x:v>2210</x:v>
      </x:c>
      <x:c r="N300" s="27" t="n">
        <x:v>2212.4</x:v>
      </x:c>
      <x:c r="O300" s="27" t="n">
        <x:v>0</x:v>
      </x:c>
      <x:c r="P300" s="27"/>
      <x:c r="Q300" s="1" t="str">
        <x:v>EXCAVATION</x:v>
      </x:c>
      <x:c r="R300" s="1" t="str">
        <x:v>PEDESTRIAN_VENT_OR_PASS_LINK</x:v>
      </x:c>
    </x:row>
    <x:row r="301" ht="22" customHeight="1">
      <x:c r="A301" s="1" t="str">
        <x:v>CH-RLL-N02</x:v>
      </x:c>
      <x:c r="B301" s="1" t="str"/>
      <x:c r="C301" s="1" t="str"/>
      <x:c r="D301" s="1" t="str"/>
      <x:c r="E301" s="27" t="n">
        <x:v>43.111481557557674</x:v>
      </x:c>
      <x:c r="F301" s="27" t="n">
        <x:v>2.4</x:v>
      </x:c>
      <x:c r="G301" s="27" t="n">
        <x:v>2.4</x:v>
      </x:c>
      <x:c r="H301" s="27" t="n">
        <x:v>5.605486677646163</x:v>
      </x:c>
      <x:c r="I301" s="27" t="n">
        <x:f>IF(OR(E301="",E301&lt;=0),"n.a.",J301/E301)</x:f>
        <x:v>5.601860127406451</x:v>
      </x:c>
      <x:c r="J301" s="27" t="n">
        <x:v>241.50448957070088</x:v>
      </x:c>
      <x:c r="K301" s="27"/>
      <x:c r="L301" s="27"/>
      <x:c r="M301" s="27" t="n">
        <x:v>2190</x:v>
      </x:c>
      <x:c r="N301" s="27" t="n">
        <x:v>2192.4</x:v>
      </x:c>
      <x:c r="O301" s="27" t="n">
        <x:v>0</x:v>
      </x:c>
      <x:c r="P301" s="27"/>
      <x:c r="Q301" s="1" t="str">
        <x:v>EXCAVATION</x:v>
      </x:c>
      <x:c r="R301" s="1" t="str">
        <x:v>PEDESTRIAN_VENT_OR_PASS_LINK</x:v>
      </x:c>
    </x:row>
    <x:row r="302" ht="22" customHeight="1">
      <x:c r="A302" s="1" t="str">
        <x:v>CH-RLL-N03</x:v>
      </x:c>
      <x:c r="B302" s="1" t="str"/>
      <x:c r="C302" s="1" t="str"/>
      <x:c r="D302" s="1" t="str"/>
      <x:c r="E302" s="27" t="n">
        <x:v>37.75249770893522</x:v>
      </x:c>
      <x:c r="F302" s="27" t="n">
        <x:v>2.4</x:v>
      </x:c>
      <x:c r="G302" s="27" t="n">
        <x:v>2.4</x:v>
      </x:c>
      <x:c r="H302" s="27" t="n">
        <x:v>5.605486677646163</x:v>
      </x:c>
      <x:c r="I302" s="27" t="n">
        <x:f>IF(OR(E302="",E302&lt;=0),"n.a.",J302/E302)</x:f>
        <x:v>5.601860127407065</x:v>
      </x:c>
      <x:c r="J302" s="27" t="n">
        <x:v>211.4842116257108</x:v>
      </x:c>
      <x:c r="K302" s="27"/>
      <x:c r="L302" s="27"/>
      <x:c r="M302" s="27" t="n">
        <x:v>2170</x:v>
      </x:c>
      <x:c r="N302" s="27" t="n">
        <x:v>2172.4</x:v>
      </x:c>
      <x:c r="O302" s="27" t="n">
        <x:v>0</x:v>
      </x:c>
      <x:c r="P302" s="27"/>
      <x:c r="Q302" s="1" t="str">
        <x:v>EXCAVATION</x:v>
      </x:c>
      <x:c r="R302" s="1" t="str">
        <x:v>PEDESTRIAN_VENT_OR_PASS_LINK</x:v>
      </x:c>
    </x:row>
    <x:row r="303" ht="22" customHeight="1">
      <x:c r="A303" s="1" t="str">
        <x:v>CH-RLL-N04</x:v>
      </x:c>
      <x:c r="B303" s="1" t="str"/>
      <x:c r="C303" s="1" t="str"/>
      <x:c r="D303" s="1" t="str"/>
      <x:c r="E303" s="27" t="n">
        <x:v>32.393513860312765</x:v>
      </x:c>
      <x:c r="F303" s="27" t="n">
        <x:v>2.4</x:v>
      </x:c>
      <x:c r="G303" s="27" t="n">
        <x:v>2.4</x:v>
      </x:c>
      <x:c r="H303" s="27" t="n">
        <x:v>5.605486677646163</x:v>
      </x:c>
      <x:c r="I303" s="27" t="n">
        <x:f>IF(OR(E303="",E303&lt;=0),"n.a.",J303/E303)</x:f>
        <x:v>5.601860127406536</x:v>
      </x:c>
      <x:c r="J303" s="27" t="n">
        <x:v>181.46393368067706</x:v>
      </x:c>
      <x:c r="K303" s="27"/>
      <x:c r="L303" s="27"/>
      <x:c r="M303" s="27" t="n">
        <x:v>2150</x:v>
      </x:c>
      <x:c r="N303" s="27" t="n">
        <x:v>2152.4</x:v>
      </x:c>
      <x:c r="O303" s="27" t="n">
        <x:v>0</x:v>
      </x:c>
      <x:c r="P303" s="27"/>
      <x:c r="Q303" s="1" t="str">
        <x:v>EXCAVATION</x:v>
      </x:c>
      <x:c r="R303" s="1" t="str">
        <x:v>PEDESTRIAN_VENT_OR_PASS_LINK</x:v>
      </x:c>
    </x:row>
    <x:row r="304" ht="22" customHeight="1">
      <x:c r="A304" s="1" t="str">
        <x:v>CH-RLL-N05</x:v>
      </x:c>
      <x:c r="B304" s="1" t="str"/>
      <x:c r="C304" s="1" t="str"/>
      <x:c r="D304" s="1" t="str"/>
      <x:c r="E304" s="27" t="n">
        <x:v>27.034530011690315</x:v>
      </x:c>
      <x:c r="F304" s="27" t="n">
        <x:v>2.4</x:v>
      </x:c>
      <x:c r="G304" s="27" t="n">
        <x:v>2.4</x:v>
      </x:c>
      <x:c r="H304" s="27" t="n">
        <x:v>5.605486677646163</x:v>
      </x:c>
      <x:c r="I304" s="27" t="n">
        <x:f>IF(OR(E304="",E304&lt;=0),"n.a.",J304/E304)</x:f>
        <x:v>5.601860127406693</x:v>
      </x:c>
      <x:c r="J304" s="27" t="n">
        <x:v>151.44365573566756</x:v>
      </x:c>
      <x:c r="K304" s="27"/>
      <x:c r="L304" s="27"/>
      <x:c r="M304" s="27" t="n">
        <x:v>2130</x:v>
      </x:c>
      <x:c r="N304" s="27" t="n">
        <x:v>2132.4</x:v>
      </x:c>
      <x:c r="O304" s="27" t="n">
        <x:v>0</x:v>
      </x:c>
      <x:c r="P304" s="27"/>
      <x:c r="Q304" s="1" t="str">
        <x:v>EXCAVATION</x:v>
      </x:c>
      <x:c r="R304" s="1" t="str">
        <x:v>PEDESTRIAN_VENT_OR_PASS_LINK</x:v>
      </x:c>
    </x:row>
    <x:row r="305" ht="22" customHeight="1">
      <x:c r="A305" s="1" t="str">
        <x:v>CH-RLL-N06</x:v>
      </x:c>
      <x:c r="B305" s="1" t="str"/>
      <x:c r="C305" s="1" t="str"/>
      <x:c r="D305" s="1" t="str"/>
      <x:c r="E305" s="27" t="n">
        <x:v>21.67554616306786</x:v>
      </x:c>
      <x:c r="F305" s="27" t="n">
        <x:v>2.4</x:v>
      </x:c>
      <x:c r="G305" s="27" t="n">
        <x:v>2.4</x:v>
      </x:c>
      <x:c r="H305" s="27" t="n">
        <x:v>5.605486677646163</x:v>
      </x:c>
      <x:c r="I305" s="27" t="n">
        <x:f>IF(OR(E305="",E305&lt;=0),"n.a.",J305/E305)</x:f>
        <x:v>5.601860127405809</x:v>
      </x:c>
      <x:c r="J305" s="27" t="n">
        <x:v>121.42337779063382</x:v>
      </x:c>
      <x:c r="K305" s="27"/>
      <x:c r="L305" s="27"/>
      <x:c r="M305" s="27" t="n">
        <x:v>2110</x:v>
      </x:c>
      <x:c r="N305" s="27" t="n">
        <x:v>2112.4</x:v>
      </x:c>
      <x:c r="O305" s="27" t="n">
        <x:v>0</x:v>
      </x:c>
      <x:c r="P305" s="27"/>
      <x:c r="Q305" s="1" t="str">
        <x:v>EXCAVATION</x:v>
      </x:c>
      <x:c r="R305" s="1" t="str">
        <x:v>PEDESTRIAN_VENT_OR_PASS_LINK</x:v>
      </x:c>
    </x:row>
    <x:row r="306" ht="22" customHeight="1">
      <x:c r="A306" s="1" t="str">
        <x:v>CH-RLL-COLLAR</x:v>
      </x:c>
      <x:c r="B306" s="1" t="str"/>
      <x:c r="C306" s="1" t="str"/>
      <x:c r="D306" s="1" t="str"/>
      <x:c r="E306" s="27"/>
      <x:c r="F306" s="27"/>
      <x:c r="G306" s="27"/>
      <x:c r="H306" s="27"/>
      <x:c r="I306" s="27" t="str">
        <x:f>IF(OR(E306="",E306&lt;=0),"n.a.",J306/E306)</x:f>
        <x:v>n.a.</x:v>
      </x:c>
      <x:c r="J306" s="27" t="n">
        <x:v>8.192000000001523</x:v>
      </x:c>
      <x:c r="K306" s="27"/>
      <x:c r="L306" s="27"/>
      <x:c r="M306" s="27" t="n">
        <x:v>2240.189371576296</x:v>
      </x:c>
      <x:c r="N306" s="27" t="n">
        <x:v>2240.989371576296</x:v>
      </x:c>
      <x:c r="O306" s="27"/>
      <x:c r="P306" s="27"/>
      <x:c r="Q306" s="1" t="str">
        <x:v>REFERENCE</x:v>
      </x:c>
      <x:c r="R306" s="1" t="str">
        <x:v>SURFACE_COLLAR</x:v>
      </x:c>
    </x:row>
    <x:row r="307" ht="22" customHeight="1">
      <x:c r="A307" s="1" t="str">
        <x:v>RIN-A-C01</x:v>
      </x:c>
      <x:c r="B307" s="1" t="str">
        <x:v>CYR_OVERHAND</x:v>
      </x:c>
      <x:c r="C307" s="1" t="str">
        <x:v>TJ-A_SHARED</x:v>
      </x:c>
      <x:c r="D307" s="1" t="str">
        <x:v>1</x:v>
      </x:c>
      <x:c r="E307" s="27" t="n">
        <x:v>165.61324627819013</x:v>
      </x:c>
      <x:c r="F307" s="27" t="n">
        <x:v>4.5</x:v>
      </x:c>
      <x:c r="G307" s="27" t="n">
        <x:v>4.5</x:v>
      </x:c>
      <x:c r="H307" s="27" t="n">
        <x:v>18.801437602932776</x:v>
      </x:c>
      <x:c r="I307" s="27" t="n">
        <x:f>IF(OR(E307="",E307&lt;=0),"n.a.",J307/E307)</x:f>
        <x:v>18.750690512199288</x:v>
      </x:c>
      <x:c r="J307" s="27" t="n">
        <x:v>3105.3627256829836</x:v>
      </x:c>
      <x:c r="K307" s="27"/>
      <x:c r="L307" s="27"/>
      <x:c r="M307" s="27" t="n">
        <x:v>2170</x:v>
      </x:c>
      <x:c r="N307" s="27" t="n">
        <x:v>2174.5</x:v>
      </x:c>
      <x:c r="O307" s="27" t="n">
        <x:v>0</x:v>
      </x:c>
      <x:c r="P307" s="27" t="n">
        <x:v>19.999999999994323</x:v>
      </x:c>
      <x:c r="Q307" s="1" t="str">
        <x:v>EXCAVATION</x:v>
      </x:c>
      <x:c r="R307" s="1" t="str">
        <x:v>CYR_RAMP_IN_SCENARIO</x:v>
      </x:c>
    </x:row>
    <x:row r="308" ht="22" customHeight="1">
      <x:c r="A308" s="1" t="str">
        <x:v>DIST-A-C01</x:v>
      </x:c>
      <x:c r="B308" s="1" t="str">
        <x:v>CYR_OVERHAND</x:v>
      </x:c>
      <x:c r="C308" s="1" t="str">
        <x:v>TJ-A_SHARED</x:v>
      </x:c>
      <x:c r="D308" s="1" t="str">
        <x:v>1</x:v>
      </x:c>
      <x:c r="E308" s="27" t="n">
        <x:v>140</x:v>
      </x:c>
      <x:c r="F308" s="27" t="n">
        <x:v>3.5</x:v>
      </x:c>
      <x:c r="G308" s="27" t="n">
        <x:v>3.5</x:v>
      </x:c>
      <x:c r="H308" s="27" t="n">
        <x:v>11.874446785945535</x:v>
      </x:c>
      <x:c r="I308" s="27" t="n">
        <x:f>IF(OR(E308="",E308&lt;=0),"n.a.",J308/E308)</x:f>
        <x:v>11.865632254112972</x:v>
      </x:c>
      <x:c r="J308" s="27" t="n">
        <x:v>1661.1885155758162</x:v>
      </x:c>
      <x:c r="K308" s="27"/>
      <x:c r="L308" s="27"/>
      <x:c r="M308" s="27" t="n">
        <x:v>2170</x:v>
      </x:c>
      <x:c r="N308" s="27" t="n">
        <x:v>2173.5</x:v>
      </x:c>
      <x:c r="O308" s="27" t="n">
        <x:v>0</x:v>
      </x:c>
      <x:c r="P308" s="27"/>
      <x:c r="Q308" s="1" t="str">
        <x:v>EXCAVATION</x:v>
      </x:c>
      <x:c r="R308" s="1" t="str">
        <x:v>CYR_DISTRIBUTION_DRIFT_SCENARIO</x:v>
      </x:c>
    </x:row>
    <x:row r="309" ht="22" customHeight="1">
      <x:c r="A309" s="1" t="str">
        <x:v>CX-RIN-TJ-A1-C01</x:v>
      </x:c>
      <x:c r="B309" s="1" t="str">
        <x:v>CYR_OVERHAND</x:v>
      </x:c>
      <x:c r="C309" s="1" t="str">
        <x:v>TJ-A1</x:v>
      </x:c>
      <x:c r="D309" s="1" t="str">
        <x:v>1</x:v>
      </x:c>
      <x:c r="E309" s="27" t="n">
        <x:v>33.43264860827436</x:v>
      </x:c>
      <x:c r="F309" s="27" t="n">
        <x:v>3.5</x:v>
      </x:c>
      <x:c r="G309" s="27" t="n">
        <x:v>3.5</x:v>
      </x:c>
      <x:c r="H309" s="27" t="n">
        <x:v>11.874446785945535</x:v>
      </x:c>
      <x:c r="I309" s="27" t="n">
        <x:f>IF(OR(E309="",E309&lt;=0),"n.a.",J309/E309)</x:f>
        <x:v>11.85973368343974</x:v>
      </x:c>
      <x:c r="J309" s="27" t="n">
        <x:v>396.50230882615625</x:v>
      </x:c>
      <x:c r="K309" s="27"/>
      <x:c r="L309" s="27"/>
      <x:c r="M309" s="27" t="n">
        <x:v>2170</x:v>
      </x:c>
      <x:c r="N309" s="27" t="n">
        <x:v>2173.5</x:v>
      </x:c>
      <x:c r="O309" s="27" t="n">
        <x:v>0</x:v>
      </x:c>
      <x:c r="P309" s="27" t="n">
        <x:v>19.9999999999923</x:v>
      </x:c>
      <x:c r="Q309" s="1" t="str">
        <x:v>EXCAVATION</x:v>
      </x:c>
      <x:c r="R309" s="1" t="str">
        <x:v>CYR_STOPE_ACCESS_SCENARIO</x:v>
      </x:c>
    </x:row>
    <x:row r="310" ht="22" customHeight="1">
      <x:c r="A310" s="1" t="str">
        <x:v>CX-RIN-TJ-A2-C01</x:v>
      </x:c>
      <x:c r="B310" s="1" t="str">
        <x:v>CYR_OVERHAND</x:v>
      </x:c>
      <x:c r="C310" s="1" t="str">
        <x:v>TJ-A2</x:v>
      </x:c>
      <x:c r="D310" s="1" t="str">
        <x:v>1</x:v>
      </x:c>
      <x:c r="E310" s="27" t="n">
        <x:v>33.43264860827436</x:v>
      </x:c>
      <x:c r="F310" s="27" t="n">
        <x:v>3.5</x:v>
      </x:c>
      <x:c r="G310" s="27" t="n">
        <x:v>3.5</x:v>
      </x:c>
      <x:c r="H310" s="27" t="n">
        <x:v>11.874446785945535</x:v>
      </x:c>
      <x:c r="I310" s="27" t="n">
        <x:f>IF(OR(E310="",E310&lt;=0),"n.a.",J310/E310)</x:f>
        <x:v>11.859733683440902</x:v>
      </x:c>
      <x:c r="J310" s="27" t="n">
        <x:v>396.5023088261951</x:v>
      </x:c>
      <x:c r="K310" s="27"/>
      <x:c r="L310" s="27"/>
      <x:c r="M310" s="27" t="n">
        <x:v>2170</x:v>
      </x:c>
      <x:c r="N310" s="27" t="n">
        <x:v>2173.5</x:v>
      </x:c>
      <x:c r="O310" s="27" t="n">
        <x:v>0</x:v>
      </x:c>
      <x:c r="P310" s="27" t="n">
        <x:v>19.9999999999923</x:v>
      </x:c>
      <x:c r="Q310" s="1" t="str">
        <x:v>EXCAVATION</x:v>
      </x:c>
      <x:c r="R310" s="1" t="str">
        <x:v>CYR_STOPE_ACCESS_SCENARIO</x:v>
      </x:c>
    </x:row>
    <x:row r="311" ht="22" customHeight="1">
      <x:c r="A311" s="1" t="str">
        <x:v>CX-RIN-TJ-A3-C01</x:v>
      </x:c>
      <x:c r="B311" s="1" t="str">
        <x:v>CYR_OVERHAND</x:v>
      </x:c>
      <x:c r="C311" s="1" t="str">
        <x:v>TJ-A3</x:v>
      </x:c>
      <x:c r="D311" s="1" t="str">
        <x:v>1</x:v>
      </x:c>
      <x:c r="E311" s="27" t="n">
        <x:v>33.43264860827436</x:v>
      </x:c>
      <x:c r="F311" s="27" t="n">
        <x:v>3.5</x:v>
      </x:c>
      <x:c r="G311" s="27" t="n">
        <x:v>3.5</x:v>
      </x:c>
      <x:c r="H311" s="27" t="n">
        <x:v>11.874446785945535</x:v>
      </x:c>
      <x:c r="I311" s="27" t="n">
        <x:f>IF(OR(E311="",E311&lt;=0),"n.a.",J311/E311)</x:f>
        <x:v>11.859733683440323</x:v>
      </x:c>
      <x:c r="J311" s="27" t="n">
        <x:v>396.5023088261757</x:v>
      </x:c>
      <x:c r="K311" s="27"/>
      <x:c r="L311" s="27"/>
      <x:c r="M311" s="27" t="n">
        <x:v>2170</x:v>
      </x:c>
      <x:c r="N311" s="27" t="n">
        <x:v>2173.5</x:v>
      </x:c>
      <x:c r="O311" s="27" t="n">
        <x:v>0</x:v>
      </x:c>
      <x:c r="P311" s="27" t="n">
        <x:v>19.9999999999923</x:v>
      </x:c>
      <x:c r="Q311" s="1" t="str">
        <x:v>EXCAVATION</x:v>
      </x:c>
      <x:c r="R311" s="1" t="str">
        <x:v>CYR_STOPE_ACCESS_SCENARIO</x:v>
      </x:c>
    </x:row>
    <x:row r="312" ht="22" customHeight="1">
      <x:c r="A312" s="1" t="str">
        <x:v>CX-RIN-TJ-A4-C01</x:v>
      </x:c>
      <x:c r="B312" s="1" t="str">
        <x:v>CYR_OVERHAND</x:v>
      </x:c>
      <x:c r="C312" s="1" t="str">
        <x:v>TJ-A4</x:v>
      </x:c>
      <x:c r="D312" s="1" t="str">
        <x:v>1</x:v>
      </x:c>
      <x:c r="E312" s="27" t="n">
        <x:v>33.43264860827436</x:v>
      </x:c>
      <x:c r="F312" s="27" t="n">
        <x:v>3.5</x:v>
      </x:c>
      <x:c r="G312" s="27" t="n">
        <x:v>3.5</x:v>
      </x:c>
      <x:c r="H312" s="27" t="n">
        <x:v>11.874446785945535</x:v>
      </x:c>
      <x:c r="I312" s="27" t="n">
        <x:f>IF(OR(E312="",E312&lt;=0),"n.a.",J312/E312)</x:f>
        <x:v>11.85973368343974</x:v>
      </x:c>
      <x:c r="J312" s="27" t="n">
        <x:v>396.50230882615625</x:v>
      </x:c>
      <x:c r="K312" s="27"/>
      <x:c r="L312" s="27"/>
      <x:c r="M312" s="27" t="n">
        <x:v>2170</x:v>
      </x:c>
      <x:c r="N312" s="27" t="n">
        <x:v>2173.5</x:v>
      </x:c>
      <x:c r="O312" s="27" t="n">
        <x:v>0</x:v>
      </x:c>
      <x:c r="P312" s="27" t="n">
        <x:v>19.9999999999923</x:v>
      </x:c>
      <x:c r="Q312" s="1" t="str">
        <x:v>EXCAVATION</x:v>
      </x:c>
      <x:c r="R312" s="1" t="str">
        <x:v>CYR_STOPE_ACCESS_SCENARIO</x:v>
      </x:c>
    </x:row>
    <x:row r="313" ht="22" customHeight="1">
      <x:c r="A313" s="1" t="str">
        <x:v>RIN-A-C02</x:v>
      </x:c>
      <x:c r="B313" s="1" t="str">
        <x:v>CYR_OVERHAND</x:v>
      </x:c>
      <x:c r="C313" s="1" t="str">
        <x:v>TJ-A_SHARED</x:v>
      </x:c>
      <x:c r="D313" s="1" t="str">
        <x:v>2</x:v>
      </x:c>
      <x:c r="E313" s="27" t="n">
        <x:v>164.75380610218528</x:v>
      </x:c>
      <x:c r="F313" s="27" t="n">
        <x:v>4.5</x:v>
      </x:c>
      <x:c r="G313" s="27" t="n">
        <x:v>4.5</x:v>
      </x:c>
      <x:c r="H313" s="27" t="n">
        <x:v>18.801437602932776</x:v>
      </x:c>
      <x:c r="I313" s="27" t="n">
        <x:f>IF(OR(E313="",E313&lt;=0),"n.a.",J313/E313)</x:f>
        <x:v>18.74539487812303</x:v>
      </x:c>
      <x:c r="J313" s="27" t="n">
        <x:v>3088.3751530591785</x:v>
      </x:c>
      <x:c r="K313" s="27"/>
      <x:c r="L313" s="27"/>
      <x:c r="M313" s="27" t="n">
        <x:v>2170</x:v>
      </x:c>
      <x:c r="N313" s="27" t="n">
        <x:v>2177.8333333333335</x:v>
      </x:c>
      <x:c r="O313" s="27" t="n">
        <x:v>2.0236350581672724</x:v>
      </x:c>
      <x:c r="P313" s="27" t="n">
        <x:v>19.999999999994323</x:v>
      </x:c>
      <x:c r="Q313" s="1" t="str">
        <x:v>EXCAVATION</x:v>
      </x:c>
      <x:c r="R313" s="1" t="str">
        <x:v>CYR_RAMP_IN_SCENARIO</x:v>
      </x:c>
    </x:row>
    <x:row r="314" ht="22" customHeight="1">
      <x:c r="A314" s="1" t="str">
        <x:v>DIST-A-C02</x:v>
      </x:c>
      <x:c r="B314" s="1" t="str">
        <x:v>CYR_OVERHAND</x:v>
      </x:c>
      <x:c r="C314" s="1" t="str">
        <x:v>TJ-A_SHARED</x:v>
      </x:c>
      <x:c r="D314" s="1" t="str">
        <x:v>2</x:v>
      </x:c>
      <x:c r="E314" s="27" t="n">
        <x:v>140</x:v>
      </x:c>
      <x:c r="F314" s="27" t="n">
        <x:v>3.5</x:v>
      </x:c>
      <x:c r="G314" s="27" t="n">
        <x:v>3.5</x:v>
      </x:c>
      <x:c r="H314" s="27" t="n">
        <x:v>11.874446785945535</x:v>
      </x:c>
      <x:c r="I314" s="27" t="n">
        <x:f>IF(OR(E314="",E314&lt;=0),"n.a.",J314/E314)</x:f>
        <x:v>11.865632254113006</x:v>
      </x:c>
      <x:c r="J314" s="27" t="n">
        <x:v>1661.188515575821</x:v>
      </x:c>
      <x:c r="K314" s="27"/>
      <x:c r="L314" s="27"/>
      <x:c r="M314" s="27" t="n">
        <x:v>2173.3333333333335</x:v>
      </x:c>
      <x:c r="N314" s="27" t="n">
        <x:v>2176.8333333333335</x:v>
      </x:c>
      <x:c r="O314" s="27" t="n">
        <x:v>0</x:v>
      </x:c>
      <x:c r="P314" s="27"/>
      <x:c r="Q314" s="1" t="str">
        <x:v>EXCAVATION</x:v>
      </x:c>
      <x:c r="R314" s="1" t="str">
        <x:v>CYR_DISTRIBUTION_DRIFT_SCENARIO</x:v>
      </x:c>
    </x:row>
    <x:row r="315" ht="22" customHeight="1">
      <x:c r="A315" s="1" t="str">
        <x:v>CX-RIN-TJ-A1-C02</x:v>
      </x:c>
      <x:c r="B315" s="1" t="str">
        <x:v>CYR_OVERHAND</x:v>
      </x:c>
      <x:c r="C315" s="1" t="str">
        <x:v>TJ-A1</x:v>
      </x:c>
      <x:c r="D315" s="1" t="str">
        <x:v>2</x:v>
      </x:c>
      <x:c r="E315" s="27" t="n">
        <x:v>33.43264860827436</x:v>
      </x:c>
      <x:c r="F315" s="27" t="n">
        <x:v>3.5</x:v>
      </x:c>
      <x:c r="G315" s="27" t="n">
        <x:v>3.5</x:v>
      </x:c>
      <x:c r="H315" s="27" t="n">
        <x:v>11.874446785945535</x:v>
      </x:c>
      <x:c r="I315" s="27" t="n">
        <x:f>IF(OR(E315="",E315&lt;=0),"n.a.",J315/E315)</x:f>
        <x:v>11.859733683440323</x:v>
      </x:c>
      <x:c r="J315" s="27" t="n">
        <x:v>396.5023088261757</x:v>
      </x:c>
      <x:c r="K315" s="27"/>
      <x:c r="L315" s="27"/>
      <x:c r="M315" s="27" t="n">
        <x:v>2173.3333333333335</x:v>
      </x:c>
      <x:c r="N315" s="27" t="n">
        <x:v>2176.8333333333335</x:v>
      </x:c>
      <x:c r="O315" s="27" t="n">
        <x:v>0</x:v>
      </x:c>
      <x:c r="P315" s="27" t="n">
        <x:v>19.9999999999923</x:v>
      </x:c>
      <x:c r="Q315" s="1" t="str">
        <x:v>EXCAVATION</x:v>
      </x:c>
      <x:c r="R315" s="1" t="str">
        <x:v>CYR_STOPE_ACCESS_SCENARIO</x:v>
      </x:c>
    </x:row>
    <x:row r="316" ht="22" customHeight="1">
      <x:c r="A316" s="1" t="str">
        <x:v>CX-RIN-TJ-A2-C02</x:v>
      </x:c>
      <x:c r="B316" s="1" t="str">
        <x:v>CYR_OVERHAND</x:v>
      </x:c>
      <x:c r="C316" s="1" t="str">
        <x:v>TJ-A2</x:v>
      </x:c>
      <x:c r="D316" s="1" t="str">
        <x:v>2</x:v>
      </x:c>
      <x:c r="E316" s="27" t="n">
        <x:v>33.43264860827436</x:v>
      </x:c>
      <x:c r="F316" s="27" t="n">
        <x:v>3.5</x:v>
      </x:c>
      <x:c r="G316" s="27" t="n">
        <x:v>3.5</x:v>
      </x:c>
      <x:c r="H316" s="27" t="n">
        <x:v>11.874446785945535</x:v>
      </x:c>
      <x:c r="I316" s="27" t="n">
        <x:f>IF(OR(E316="",E316&lt;=0),"n.a.",J316/E316)</x:f>
        <x:v>11.859733683440323</x:v>
      </x:c>
      <x:c r="J316" s="27" t="n">
        <x:v>396.5023088261757</x:v>
      </x:c>
      <x:c r="K316" s="27"/>
      <x:c r="L316" s="27"/>
      <x:c r="M316" s="27" t="n">
        <x:v>2173.3333333333335</x:v>
      </x:c>
      <x:c r="N316" s="27" t="n">
        <x:v>2176.8333333333335</x:v>
      </x:c>
      <x:c r="O316" s="27" t="n">
        <x:v>0</x:v>
      </x:c>
      <x:c r="P316" s="27" t="n">
        <x:v>19.9999999999923</x:v>
      </x:c>
      <x:c r="Q316" s="1" t="str">
        <x:v>EXCAVATION</x:v>
      </x:c>
      <x:c r="R316" s="1" t="str">
        <x:v>CYR_STOPE_ACCESS_SCENARIO</x:v>
      </x:c>
    </x:row>
    <x:row r="317" ht="22" customHeight="1">
      <x:c r="A317" s="1" t="str">
        <x:v>CX-RIN-TJ-A3-C02</x:v>
      </x:c>
      <x:c r="B317" s="1" t="str">
        <x:v>CYR_OVERHAND</x:v>
      </x:c>
      <x:c r="C317" s="1" t="str">
        <x:v>TJ-A3</x:v>
      </x:c>
      <x:c r="D317" s="1" t="str">
        <x:v>2</x:v>
      </x:c>
      <x:c r="E317" s="27" t="n">
        <x:v>33.43264860827436</x:v>
      </x:c>
      <x:c r="F317" s="27" t="n">
        <x:v>3.5</x:v>
      </x:c>
      <x:c r="G317" s="27" t="n">
        <x:v>3.5</x:v>
      </x:c>
      <x:c r="H317" s="27" t="n">
        <x:v>11.874446785945535</x:v>
      </x:c>
      <x:c r="I317" s="27" t="n">
        <x:f>IF(OR(E317="",E317&lt;=0),"n.a.",J317/E317)</x:f>
        <x:v>11.859733683441194</x:v>
      </x:c>
      <x:c r="J317" s="27" t="n">
        <x:v>396.5023088262048</x:v>
      </x:c>
      <x:c r="K317" s="27"/>
      <x:c r="L317" s="27"/>
      <x:c r="M317" s="27" t="n">
        <x:v>2173.3333333333335</x:v>
      </x:c>
      <x:c r="N317" s="27" t="n">
        <x:v>2176.8333333333335</x:v>
      </x:c>
      <x:c r="O317" s="27" t="n">
        <x:v>0</x:v>
      </x:c>
      <x:c r="P317" s="27" t="n">
        <x:v>19.9999999999923</x:v>
      </x:c>
      <x:c r="Q317" s="1" t="str">
        <x:v>EXCAVATION</x:v>
      </x:c>
      <x:c r="R317" s="1" t="str">
        <x:v>CYR_STOPE_ACCESS_SCENARIO</x:v>
      </x:c>
    </x:row>
    <x:row r="318" ht="22" customHeight="1">
      <x:c r="A318" s="1" t="str">
        <x:v>CX-RIN-TJ-A4-C02</x:v>
      </x:c>
      <x:c r="B318" s="1" t="str">
        <x:v>CYR_OVERHAND</x:v>
      </x:c>
      <x:c r="C318" s="1" t="str">
        <x:v>TJ-A4</x:v>
      </x:c>
      <x:c r="D318" s="1" t="str">
        <x:v>2</x:v>
      </x:c>
      <x:c r="E318" s="27" t="n">
        <x:v>33.43264860827436</x:v>
      </x:c>
      <x:c r="F318" s="27" t="n">
        <x:v>3.5</x:v>
      </x:c>
      <x:c r="G318" s="27" t="n">
        <x:v>3.5</x:v>
      </x:c>
      <x:c r="H318" s="27" t="n">
        <x:v>11.874446785945535</x:v>
      </x:c>
      <x:c r="I318" s="27" t="n">
        <x:f>IF(OR(E318="",E318&lt;=0),"n.a.",J318/E318)</x:f>
        <x:v>11.859733683441194</x:v>
      </x:c>
      <x:c r="J318" s="27" t="n">
        <x:v>396.5023088262048</x:v>
      </x:c>
      <x:c r="K318" s="27"/>
      <x:c r="L318" s="27"/>
      <x:c r="M318" s="27" t="n">
        <x:v>2173.3333333333335</x:v>
      </x:c>
      <x:c r="N318" s="27" t="n">
        <x:v>2176.8333333333335</x:v>
      </x:c>
      <x:c r="O318" s="27" t="n">
        <x:v>0</x:v>
      </x:c>
      <x:c r="P318" s="27" t="n">
        <x:v>19.9999999999923</x:v>
      </x:c>
      <x:c r="Q318" s="1" t="str">
        <x:v>EXCAVATION</x:v>
      </x:c>
      <x:c r="R318" s="1" t="str">
        <x:v>CYR_STOPE_ACCESS_SCENARIO</x:v>
      </x:c>
    </x:row>
    <x:row r="319" ht="22" customHeight="1">
      <x:c r="A319" s="1" t="str">
        <x:v>RIN-A-C03</x:v>
      </x:c>
      <x:c r="B319" s="1" t="str">
        <x:v>CYR_OVERHAND</x:v>
      </x:c>
      <x:c r="C319" s="1" t="str">
        <x:v>TJ-A_SHARED</x:v>
      </x:c>
      <x:c r="D319" s="1" t="str">
        <x:v>3</x:v>
      </x:c>
      <x:c r="E319" s="27" t="n">
        <x:v>163.96250673097913</x:v>
      </x:c>
      <x:c r="F319" s="27" t="n">
        <x:v>4.5</x:v>
      </x:c>
      <x:c r="G319" s="27" t="n">
        <x:v>4.5</x:v>
      </x:c>
      <x:c r="H319" s="27" t="n">
        <x:v>18.801437602932776</x:v>
      </x:c>
      <x:c r="I319" s="27" t="n">
        <x:f>IF(OR(E319="",E319&lt;=0),"n.a.",J319/E319)</x:f>
        <x:v>18.732245617572456</x:v>
      </x:c>
      <x:c r="J319" s="27" t="n">
        <x:v>3071.3859481575782</x:v>
      </x:c>
      <x:c r="K319" s="27"/>
      <x:c r="L319" s="27"/>
      <x:c r="M319" s="27" t="n">
        <x:v>2170</x:v>
      </x:c>
      <x:c r="N319" s="27" t="n">
        <x:v>2181.1666666666665</x:v>
      </x:c>
      <x:c r="O319" s="27" t="n">
        <x:v>4.069335329431717</x:v>
      </x:c>
      <x:c r="P319" s="27" t="n">
        <x:v>19.999999999994323</x:v>
      </x:c>
      <x:c r="Q319" s="1" t="str">
        <x:v>EXCAVATION</x:v>
      </x:c>
      <x:c r="R319" s="1" t="str">
        <x:v>CYR_RAMP_IN_SCENARIO</x:v>
      </x:c>
    </x:row>
    <x:row r="320" ht="22" customHeight="1">
      <x:c r="A320" s="1" t="str">
        <x:v>DIST-A-C03</x:v>
      </x:c>
      <x:c r="B320" s="1" t="str">
        <x:v>CYR_OVERHAND</x:v>
      </x:c>
      <x:c r="C320" s="1" t="str">
        <x:v>TJ-A_SHARED</x:v>
      </x:c>
      <x:c r="D320" s="1" t="str">
        <x:v>3</x:v>
      </x:c>
      <x:c r="E320" s="27" t="n">
        <x:v>140</x:v>
      </x:c>
      <x:c r="F320" s="27" t="n">
        <x:v>3.5</x:v>
      </x:c>
      <x:c r="G320" s="27" t="n">
        <x:v>3.5</x:v>
      </x:c>
      <x:c r="H320" s="27" t="n">
        <x:v>11.874446785945535</x:v>
      </x:c>
      <x:c r="I320" s="27" t="n">
        <x:f>IF(OR(E320="",E320&lt;=0),"n.a.",J320/E320)</x:f>
        <x:v>11.865632254112487</x:v>
      </x:c>
      <x:c r="J320" s="27" t="n">
        <x:v>1661.1885155757482</x:v>
      </x:c>
      <x:c r="K320" s="27"/>
      <x:c r="L320" s="27"/>
      <x:c r="M320" s="27" t="n">
        <x:v>2176.6666666666665</x:v>
      </x:c>
      <x:c r="N320" s="27" t="n">
        <x:v>2180.1666666666665</x:v>
      </x:c>
      <x:c r="O320" s="27" t="n">
        <x:v>0</x:v>
      </x:c>
      <x:c r="P320" s="27"/>
      <x:c r="Q320" s="1" t="str">
        <x:v>EXCAVATION</x:v>
      </x:c>
      <x:c r="R320" s="1" t="str">
        <x:v>CYR_DISTRIBUTION_DRIFT_SCENARIO</x:v>
      </x:c>
    </x:row>
    <x:row r="321" ht="22" customHeight="1">
      <x:c r="A321" s="1" t="str">
        <x:v>CX-RIN-TJ-A1-C03</x:v>
      </x:c>
      <x:c r="B321" s="1" t="str">
        <x:v>CYR_OVERHAND</x:v>
      </x:c>
      <x:c r="C321" s="1" t="str">
        <x:v>TJ-A1</x:v>
      </x:c>
      <x:c r="D321" s="1" t="str">
        <x:v>3</x:v>
      </x:c>
      <x:c r="E321" s="27" t="n">
        <x:v>33.43264860827436</x:v>
      </x:c>
      <x:c r="F321" s="27" t="n">
        <x:v>3.5</x:v>
      </x:c>
      <x:c r="G321" s="27" t="n">
        <x:v>3.5</x:v>
      </x:c>
      <x:c r="H321" s="27" t="n">
        <x:v>11.874446785945535</x:v>
      </x:c>
      <x:c r="I321" s="27" t="n">
        <x:f>IF(OR(E321="",E321&lt;=0),"n.a.",J321/E321)</x:f>
        <x:v>11.859733683439453</x:v>
      </x:c>
      <x:c r="J321" s="27" t="n">
        <x:v>396.5023088261466</x:v>
      </x:c>
      <x:c r="K321" s="27"/>
      <x:c r="L321" s="27"/>
      <x:c r="M321" s="27" t="n">
        <x:v>2176.6666666666665</x:v>
      </x:c>
      <x:c r="N321" s="27" t="n">
        <x:v>2180.1666666666665</x:v>
      </x:c>
      <x:c r="O321" s="27" t="n">
        <x:v>0</x:v>
      </x:c>
      <x:c r="P321" s="27" t="n">
        <x:v>19.9999999999923</x:v>
      </x:c>
      <x:c r="Q321" s="1" t="str">
        <x:v>EXCAVATION</x:v>
      </x:c>
      <x:c r="R321" s="1" t="str">
        <x:v>CYR_STOPE_ACCESS_SCENARIO</x:v>
      </x:c>
    </x:row>
    <x:row r="322" ht="22" customHeight="1">
      <x:c r="A322" s="1" t="str">
        <x:v>CX-RIN-TJ-A2-C03</x:v>
      </x:c>
      <x:c r="B322" s="1" t="str">
        <x:v>CYR_OVERHAND</x:v>
      </x:c>
      <x:c r="C322" s="1" t="str">
        <x:v>TJ-A2</x:v>
      </x:c>
      <x:c r="D322" s="1" t="str">
        <x:v>3</x:v>
      </x:c>
      <x:c r="E322" s="27" t="n">
        <x:v>33.43264860827436</x:v>
      </x:c>
      <x:c r="F322" s="27" t="n">
        <x:v>3.5</x:v>
      </x:c>
      <x:c r="G322" s="27" t="n">
        <x:v>3.5</x:v>
      </x:c>
      <x:c r="H322" s="27" t="n">
        <x:v>11.874446785945535</x:v>
      </x:c>
      <x:c r="I322" s="27" t="n">
        <x:f>IF(OR(E322="",E322&lt;=0),"n.a.",J322/E322)</x:f>
        <x:v>11.859733683440323</x:v>
      </x:c>
      <x:c r="J322" s="27" t="n">
        <x:v>396.5023088261757</x:v>
      </x:c>
      <x:c r="K322" s="27"/>
      <x:c r="L322" s="27"/>
      <x:c r="M322" s="27" t="n">
        <x:v>2176.6666666666665</x:v>
      </x:c>
      <x:c r="N322" s="27" t="n">
        <x:v>2180.1666666666665</x:v>
      </x:c>
      <x:c r="O322" s="27" t="n">
        <x:v>0</x:v>
      </x:c>
      <x:c r="P322" s="27" t="n">
        <x:v>19.9999999999923</x:v>
      </x:c>
      <x:c r="Q322" s="1" t="str">
        <x:v>EXCAVATION</x:v>
      </x:c>
      <x:c r="R322" s="1" t="str">
        <x:v>CYR_STOPE_ACCESS_SCENARIO</x:v>
      </x:c>
    </x:row>
    <x:row r="323" ht="22" customHeight="1">
      <x:c r="A323" s="1" t="str">
        <x:v>CX-RIN-TJ-A3-C03</x:v>
      </x:c>
      <x:c r="B323" s="1" t="str">
        <x:v>CYR_OVERHAND</x:v>
      </x:c>
      <x:c r="C323" s="1" t="str">
        <x:v>TJ-A3</x:v>
      </x:c>
      <x:c r="D323" s="1" t="str">
        <x:v>3</x:v>
      </x:c>
      <x:c r="E323" s="27" t="n">
        <x:v>33.43264860827436</x:v>
      </x:c>
      <x:c r="F323" s="27" t="n">
        <x:v>3.5</x:v>
      </x:c>
      <x:c r="G323" s="27" t="n">
        <x:v>3.5</x:v>
      </x:c>
      <x:c r="H323" s="27" t="n">
        <x:v>11.874446785945535</x:v>
      </x:c>
      <x:c r="I323" s="27" t="n">
        <x:f>IF(OR(E323="",E323&lt;=0),"n.a.",J323/E323)</x:f>
        <x:v>11.859733683440032</x:v>
      </x:c>
      <x:c r="J323" s="27" t="n">
        <x:v>396.502308826166</x:v>
      </x:c>
      <x:c r="K323" s="27"/>
      <x:c r="L323" s="27"/>
      <x:c r="M323" s="27" t="n">
        <x:v>2176.6666666666665</x:v>
      </x:c>
      <x:c r="N323" s="27" t="n">
        <x:v>2180.1666666666665</x:v>
      </x:c>
      <x:c r="O323" s="27" t="n">
        <x:v>0</x:v>
      </x:c>
      <x:c r="P323" s="27" t="n">
        <x:v>19.9999999999923</x:v>
      </x:c>
      <x:c r="Q323" s="1" t="str">
        <x:v>EXCAVATION</x:v>
      </x:c>
      <x:c r="R323" s="1" t="str">
        <x:v>CYR_STOPE_ACCESS_SCENARIO</x:v>
      </x:c>
    </x:row>
    <x:row r="324" ht="22" customHeight="1">
      <x:c r="A324" s="1" t="str">
        <x:v>CX-RIN-TJ-A4-C03</x:v>
      </x:c>
      <x:c r="B324" s="1" t="str">
        <x:v>CYR_OVERHAND</x:v>
      </x:c>
      <x:c r="C324" s="1" t="str">
        <x:v>TJ-A4</x:v>
      </x:c>
      <x:c r="D324" s="1" t="str">
        <x:v>3</x:v>
      </x:c>
      <x:c r="E324" s="27" t="n">
        <x:v>33.43264860827436</x:v>
      </x:c>
      <x:c r="F324" s="27" t="n">
        <x:v>3.5</x:v>
      </x:c>
      <x:c r="G324" s="27" t="n">
        <x:v>3.5</x:v>
      </x:c>
      <x:c r="H324" s="27" t="n">
        <x:v>11.874446785945535</x:v>
      </x:c>
      <x:c r="I324" s="27" t="n">
        <x:f>IF(OR(E324="",E324&lt;=0),"n.a.",J324/E324)</x:f>
        <x:v>11.859733683441194</x:v>
      </x:c>
      <x:c r="J324" s="27" t="n">
        <x:v>396.5023088262048</x:v>
      </x:c>
      <x:c r="K324" s="27"/>
      <x:c r="L324" s="27"/>
      <x:c r="M324" s="27" t="n">
        <x:v>2176.6666666666665</x:v>
      </x:c>
      <x:c r="N324" s="27" t="n">
        <x:v>2180.1666666666665</x:v>
      </x:c>
      <x:c r="O324" s="27" t="n">
        <x:v>0</x:v>
      </x:c>
      <x:c r="P324" s="27" t="n">
        <x:v>19.9999999999923</x:v>
      </x:c>
      <x:c r="Q324" s="1" t="str">
        <x:v>EXCAVATION</x:v>
      </x:c>
      <x:c r="R324" s="1" t="str">
        <x:v>CYR_STOPE_ACCESS_SCENARIO</x:v>
      </x:c>
    </x:row>
    <x:row r="325" ht="22" customHeight="1">
      <x:c r="A325" s="1" t="str">
        <x:v>RIN-A-C04</x:v>
      </x:c>
      <x:c r="B325" s="1" t="str">
        <x:v>CYR_OVERHAND</x:v>
      </x:c>
      <x:c r="C325" s="1" t="str">
        <x:v>TJ-A_SHARED</x:v>
      </x:c>
      <x:c r="D325" s="1" t="str">
        <x:v>4</x:v>
      </x:c>
      <x:c r="E325" s="27" t="n">
        <x:v>163.24033909499866</x:v>
      </x:c>
      <x:c r="F325" s="27" t="n">
        <x:v>4.5</x:v>
      </x:c>
      <x:c r="G325" s="27" t="n">
        <x:v>4.5</x:v>
      </x:c>
      <x:c r="H325" s="27" t="n">
        <x:v>18.801437602932776</x:v>
      </x:c>
      <x:c r="I325" s="27" t="n">
        <x:f>IF(OR(E325="",E325&lt;=0),"n.a.",J325/E325)</x:f>
        <x:v>18.711002469460556</x:v>
      </x:c>
      <x:c r="J325" s="27" t="n">
        <x:v>3054.3903879220984</x:v>
      </x:c>
      <x:c r="K325" s="27"/>
      <x:c r="L325" s="27"/>
      <x:c r="M325" s="27" t="n">
        <x:v>2170</x:v>
      </x:c>
      <x:c r="N325" s="27" t="n">
        <x:v>2184.5</x:v>
      </x:c>
      <x:c r="O325" s="27" t="n">
        <x:v>6.137463682498681</x:v>
      </x:c>
      <x:c r="P325" s="27" t="n">
        <x:v>19.999999999994323</x:v>
      </x:c>
      <x:c r="Q325" s="1" t="str">
        <x:v>EXCAVATION</x:v>
      </x:c>
      <x:c r="R325" s="1" t="str">
        <x:v>CYR_RAMP_IN_SCENARIO</x:v>
      </x:c>
    </x:row>
    <x:row r="326" ht="22" customHeight="1">
      <x:c r="A326" s="1" t="str">
        <x:v>DIST-A-C04</x:v>
      </x:c>
      <x:c r="B326" s="1" t="str">
        <x:v>CYR_OVERHAND</x:v>
      </x:c>
      <x:c r="C326" s="1" t="str">
        <x:v>TJ-A_SHARED</x:v>
      </x:c>
      <x:c r="D326" s="1" t="str">
        <x:v>4</x:v>
      </x:c>
      <x:c r="E326" s="27" t="n">
        <x:v>140</x:v>
      </x:c>
      <x:c r="F326" s="27" t="n">
        <x:v>3.5</x:v>
      </x:c>
      <x:c r="G326" s="27" t="n">
        <x:v>3.5</x:v>
      </x:c>
      <x:c r="H326" s="27" t="n">
        <x:v>11.874446785945535</x:v>
      </x:c>
      <x:c r="I326" s="27" t="n">
        <x:f>IF(OR(E326="",E326&lt;=0),"n.a.",J326/E326)</x:f>
        <x:v>11.86563225411287</x:v>
      </x:c>
      <x:c r="J326" s="27" t="n">
        <x:v>1661.1885155758016</x:v>
      </x:c>
      <x:c r="K326" s="27"/>
      <x:c r="L326" s="27"/>
      <x:c r="M326" s="27" t="n">
        <x:v>2180</x:v>
      </x:c>
      <x:c r="N326" s="27" t="n">
        <x:v>2183.5</x:v>
      </x:c>
      <x:c r="O326" s="27" t="n">
        <x:v>0</x:v>
      </x:c>
      <x:c r="P326" s="27"/>
      <x:c r="Q326" s="1" t="str">
        <x:v>EXCAVATION</x:v>
      </x:c>
      <x:c r="R326" s="1" t="str">
        <x:v>CYR_DISTRIBUTION_DRIFT_SCENARIO</x:v>
      </x:c>
    </x:row>
    <x:row r="327" ht="22" customHeight="1">
      <x:c r="A327" s="1" t="str">
        <x:v>CX-RIN-TJ-A1-C04</x:v>
      </x:c>
      <x:c r="B327" s="1" t="str">
        <x:v>CYR_OVERHAND</x:v>
      </x:c>
      <x:c r="C327" s="1" t="str">
        <x:v>TJ-A1</x:v>
      </x:c>
      <x:c r="D327" s="1" t="str">
        <x:v>4</x:v>
      </x:c>
      <x:c r="E327" s="27" t="n">
        <x:v>33.432648608274356</x:v>
      </x:c>
      <x:c r="F327" s="27" t="n">
        <x:v>3.5</x:v>
      </x:c>
      <x:c r="G327" s="27" t="n">
        <x:v>3.5</x:v>
      </x:c>
      <x:c r="H327" s="27" t="n">
        <x:v>11.874446785945535</x:v>
      </x:c>
      <x:c r="I327" s="27" t="n">
        <x:f>IF(OR(E327="",E327&lt;=0),"n.a.",J327/E327)</x:f>
        <x:v>11.859733683439744</x:v>
      </x:c>
      <x:c r="J327" s="27" t="n">
        <x:v>396.50230882615625</x:v>
      </x:c>
      <x:c r="K327" s="27"/>
      <x:c r="L327" s="27"/>
      <x:c r="M327" s="27" t="n">
        <x:v>2180</x:v>
      </x:c>
      <x:c r="N327" s="27" t="n">
        <x:v>2183.5</x:v>
      </x:c>
      <x:c r="O327" s="27" t="n">
        <x:v>0</x:v>
      </x:c>
      <x:c r="P327" s="27" t="n">
        <x:v>19.9999999999923</x:v>
      </x:c>
      <x:c r="Q327" s="1" t="str">
        <x:v>EXCAVATION</x:v>
      </x:c>
      <x:c r="R327" s="1" t="str">
        <x:v>CYR_STOPE_ACCESS_SCENARIO</x:v>
      </x:c>
    </x:row>
    <x:row r="328" ht="22" customHeight="1">
      <x:c r="A328" s="1" t="str">
        <x:v>CX-RIN-TJ-A2-C04</x:v>
      </x:c>
      <x:c r="B328" s="1" t="str">
        <x:v>CYR_OVERHAND</x:v>
      </x:c>
      <x:c r="C328" s="1" t="str">
        <x:v>TJ-A2</x:v>
      </x:c>
      <x:c r="D328" s="1" t="str">
        <x:v>4</x:v>
      </x:c>
      <x:c r="E328" s="27" t="n">
        <x:v>33.432648608274356</x:v>
      </x:c>
      <x:c r="F328" s="27" t="n">
        <x:v>3.5</x:v>
      </x:c>
      <x:c r="G328" s="27" t="n">
        <x:v>3.5</x:v>
      </x:c>
      <x:c r="H328" s="27" t="n">
        <x:v>11.874446785945535</x:v>
      </x:c>
      <x:c r="I328" s="27" t="n">
        <x:f>IF(OR(E328="",E328&lt;=0),"n.a.",J328/E328)</x:f>
        <x:v>11.859733683440034</x:v>
      </x:c>
      <x:c r="J328" s="27" t="n">
        <x:v>396.502308826166</x:v>
      </x:c>
      <x:c r="K328" s="27"/>
      <x:c r="L328" s="27"/>
      <x:c r="M328" s="27" t="n">
        <x:v>2180</x:v>
      </x:c>
      <x:c r="N328" s="27" t="n">
        <x:v>2183.5</x:v>
      </x:c>
      <x:c r="O328" s="27" t="n">
        <x:v>0</x:v>
      </x:c>
      <x:c r="P328" s="27" t="n">
        <x:v>19.9999999999923</x:v>
      </x:c>
      <x:c r="Q328" s="1" t="str">
        <x:v>EXCAVATION</x:v>
      </x:c>
      <x:c r="R328" s="1" t="str">
        <x:v>CYR_STOPE_ACCESS_SCENARIO</x:v>
      </x:c>
    </x:row>
    <x:row r="329" ht="22" customHeight="1">
      <x:c r="A329" s="1" t="str">
        <x:v>CX-RIN-TJ-A3-C04</x:v>
      </x:c>
      <x:c r="B329" s="1" t="str">
        <x:v>CYR_OVERHAND</x:v>
      </x:c>
      <x:c r="C329" s="1" t="str">
        <x:v>TJ-A3</x:v>
      </x:c>
      <x:c r="D329" s="1" t="str">
        <x:v>4</x:v>
      </x:c>
      <x:c r="E329" s="27" t="n">
        <x:v>33.432648608274356</x:v>
      </x:c>
      <x:c r="F329" s="27" t="n">
        <x:v>3.5</x:v>
      </x:c>
      <x:c r="G329" s="27" t="n">
        <x:v>3.5</x:v>
      </x:c>
      <x:c r="H329" s="27" t="n">
        <x:v>11.874446785945535</x:v>
      </x:c>
      <x:c r="I329" s="27" t="n">
        <x:f>IF(OR(E329="",E329&lt;=0),"n.a.",J329/E329)</x:f>
        <x:v>11.859733683440034</x:v>
      </x:c>
      <x:c r="J329" s="27" t="n">
        <x:v>396.502308826166</x:v>
      </x:c>
      <x:c r="K329" s="27"/>
      <x:c r="L329" s="27"/>
      <x:c r="M329" s="27" t="n">
        <x:v>2180</x:v>
      </x:c>
      <x:c r="N329" s="27" t="n">
        <x:v>2183.5</x:v>
      </x:c>
      <x:c r="O329" s="27" t="n">
        <x:v>0</x:v>
      </x:c>
      <x:c r="P329" s="27" t="n">
        <x:v>19.9999999999923</x:v>
      </x:c>
      <x:c r="Q329" s="1" t="str">
        <x:v>EXCAVATION</x:v>
      </x:c>
      <x:c r="R329" s="1" t="str">
        <x:v>CYR_STOPE_ACCESS_SCENARIO</x:v>
      </x:c>
    </x:row>
    <x:row r="330" ht="22" customHeight="1">
      <x:c r="A330" s="1" t="str">
        <x:v>CX-RIN-TJ-A4-C04</x:v>
      </x:c>
      <x:c r="B330" s="1" t="str">
        <x:v>CYR_OVERHAND</x:v>
      </x:c>
      <x:c r="C330" s="1" t="str">
        <x:v>TJ-A4</x:v>
      </x:c>
      <x:c r="D330" s="1" t="str">
        <x:v>4</x:v>
      </x:c>
      <x:c r="E330" s="27" t="n">
        <x:v>33.432648608274356</x:v>
      </x:c>
      <x:c r="F330" s="27" t="n">
        <x:v>3.5</x:v>
      </x:c>
      <x:c r="G330" s="27" t="n">
        <x:v>3.5</x:v>
      </x:c>
      <x:c r="H330" s="27" t="n">
        <x:v>11.874446785945535</x:v>
      </x:c>
      <x:c r="I330" s="27" t="n">
        <x:f>IF(OR(E330="",E330&lt;=0),"n.a.",J330/E330)</x:f>
        <x:v>11.859733683440034</x:v>
      </x:c>
      <x:c r="J330" s="27" t="n">
        <x:v>396.502308826166</x:v>
      </x:c>
      <x:c r="K330" s="27"/>
      <x:c r="L330" s="27"/>
      <x:c r="M330" s="27" t="n">
        <x:v>2180</x:v>
      </x:c>
      <x:c r="N330" s="27" t="n">
        <x:v>2183.5</x:v>
      </x:c>
      <x:c r="O330" s="27" t="n">
        <x:v>0</x:v>
      </x:c>
      <x:c r="P330" s="27" t="n">
        <x:v>19.9999999999923</x:v>
      </x:c>
      <x:c r="Q330" s="1" t="str">
        <x:v>EXCAVATION</x:v>
      </x:c>
      <x:c r="R330" s="1" t="str">
        <x:v>CYR_STOPE_ACCESS_SCENARIO</x:v>
      </x:c>
    </x:row>
    <x:row r="331" ht="22" customHeight="1">
      <x:c r="A331" s="1" t="str">
        <x:v>RIN-A-C05</x:v>
      </x:c>
      <x:c r="B331" s="1" t="str">
        <x:v>CYR_OVERHAND</x:v>
      </x:c>
      <x:c r="C331" s="1" t="str">
        <x:v>TJ-A_SHARED</x:v>
      </x:c>
      <x:c r="D331" s="1" t="str">
        <x:v>5</x:v>
      </x:c>
      <x:c r="E331" s="27" t="n">
        <x:v>162.58822438352595</x:v>
      </x:c>
      <x:c r="F331" s="27" t="n">
        <x:v>4.5</x:v>
      </x:c>
      <x:c r="G331" s="27" t="n">
        <x:v>4.5</x:v>
      </x:c>
      <x:c r="H331" s="27" t="n">
        <x:v>18.801437602932776</x:v>
      </x:c>
      <x:c r="I331" s="27" t="n">
        <x:f>IF(OR(E331="",E331&lt;=0),"n.a.",J331/E331)</x:f>
        <x:v>18.681534588773662</x:v>
      </x:c>
      <x:c r="J331" s="27" t="n">
        <x:v>3037.3975375481336</x:v>
      </x:c>
      <x:c r="K331" s="27"/>
      <x:c r="L331" s="27"/>
      <x:c r="M331" s="27" t="n">
        <x:v>2170</x:v>
      </x:c>
      <x:c r="N331" s="27" t="n">
        <x:v>2187.8333333333335</x:v>
      </x:c>
      <x:c r="O331" s="27" t="n">
        <x:v>8.228390986567051</x:v>
      </x:c>
      <x:c r="P331" s="27" t="n">
        <x:v>19.999999999994323</x:v>
      </x:c>
      <x:c r="Q331" s="1" t="str">
        <x:v>EXCAVATION</x:v>
      </x:c>
      <x:c r="R331" s="1" t="str">
        <x:v>CYR_RAMP_IN_SCENARIO</x:v>
      </x:c>
    </x:row>
    <x:row r="332" ht="22" customHeight="1">
      <x:c r="A332" s="1" t="str">
        <x:v>DIST-A-C05</x:v>
      </x:c>
      <x:c r="B332" s="1" t="str">
        <x:v>CYR_OVERHAND</x:v>
      </x:c>
      <x:c r="C332" s="1" t="str">
        <x:v>TJ-A_SHARED</x:v>
      </x:c>
      <x:c r="D332" s="1" t="str">
        <x:v>5</x:v>
      </x:c>
      <x:c r="E332" s="27" t="n">
        <x:v>140</x:v>
      </x:c>
      <x:c r="F332" s="27" t="n">
        <x:v>3.5</x:v>
      </x:c>
      <x:c r="G332" s="27" t="n">
        <x:v>3.5</x:v>
      </x:c>
      <x:c r="H332" s="27" t="n">
        <x:v>11.874446785945535</x:v>
      </x:c>
      <x:c r="I332" s="27" t="n">
        <x:f>IF(OR(E332="",E332&lt;=0),"n.a.",J332/E332)</x:f>
        <x:v>11.865632254112729</x:v>
      </x:c>
      <x:c r="J332" s="27" t="n">
        <x:v>1661.188515575782</x:v>
      </x:c>
      <x:c r="K332" s="27"/>
      <x:c r="L332" s="27"/>
      <x:c r="M332" s="27" t="n">
        <x:v>2183.3333333333335</x:v>
      </x:c>
      <x:c r="N332" s="27" t="n">
        <x:v>2186.8333333333335</x:v>
      </x:c>
      <x:c r="O332" s="27" t="n">
        <x:v>0</x:v>
      </x:c>
      <x:c r="P332" s="27"/>
      <x:c r="Q332" s="1" t="str">
        <x:v>EXCAVATION</x:v>
      </x:c>
      <x:c r="R332" s="1" t="str">
        <x:v>CYR_DISTRIBUTION_DRIFT_SCENARIO</x:v>
      </x:c>
    </x:row>
    <x:row r="333" ht="22" customHeight="1">
      <x:c r="A333" s="1" t="str">
        <x:v>CX-RIN-TJ-A1-C05</x:v>
      </x:c>
      <x:c r="B333" s="1" t="str">
        <x:v>CYR_OVERHAND</x:v>
      </x:c>
      <x:c r="C333" s="1" t="str">
        <x:v>TJ-A1</x:v>
      </x:c>
      <x:c r="D333" s="1" t="str">
        <x:v>5</x:v>
      </x:c>
      <x:c r="E333" s="27" t="n">
        <x:v>33.43264860827436</x:v>
      </x:c>
      <x:c r="F333" s="27" t="n">
        <x:v>3.5</x:v>
      </x:c>
      <x:c r="G333" s="27" t="n">
        <x:v>3.5</x:v>
      </x:c>
      <x:c r="H333" s="27" t="n">
        <x:v>11.874446785945535</x:v>
      </x:c>
      <x:c r="I333" s="27" t="n">
        <x:f>IF(OR(E333="",E333&lt;=0),"n.a.",J333/E333)</x:f>
        <x:v>11.859733683440611</x:v>
      </x:c>
      <x:c r="J333" s="27" t="n">
        <x:v>396.50230882618536</x:v>
      </x:c>
      <x:c r="K333" s="27"/>
      <x:c r="L333" s="27"/>
      <x:c r="M333" s="27" t="n">
        <x:v>2183.3333333333335</x:v>
      </x:c>
      <x:c r="N333" s="27" t="n">
        <x:v>2186.8333333333335</x:v>
      </x:c>
      <x:c r="O333" s="27" t="n">
        <x:v>0</x:v>
      </x:c>
      <x:c r="P333" s="27" t="n">
        <x:v>19.9999999999923</x:v>
      </x:c>
      <x:c r="Q333" s="1" t="str">
        <x:v>EXCAVATION</x:v>
      </x:c>
      <x:c r="R333" s="1" t="str">
        <x:v>CYR_STOPE_ACCESS_SCENARIO</x:v>
      </x:c>
    </x:row>
    <x:row r="334" ht="22" customHeight="1">
      <x:c r="A334" s="1" t="str">
        <x:v>CX-RIN-TJ-A2-C05</x:v>
      </x:c>
      <x:c r="B334" s="1" t="str">
        <x:v>CYR_OVERHAND</x:v>
      </x:c>
      <x:c r="C334" s="1" t="str">
        <x:v>TJ-A2</x:v>
      </x:c>
      <x:c r="D334" s="1" t="str">
        <x:v>5</x:v>
      </x:c>
      <x:c r="E334" s="27" t="n">
        <x:v>33.43264860827436</x:v>
      </x:c>
      <x:c r="F334" s="27" t="n">
        <x:v>3.5</x:v>
      </x:c>
      <x:c r="G334" s="27" t="n">
        <x:v>3.5</x:v>
      </x:c>
      <x:c r="H334" s="27" t="n">
        <x:v>11.874446785945535</x:v>
      </x:c>
      <x:c r="I334" s="27" t="n">
        <x:f>IF(OR(E334="",E334&lt;=0),"n.a.",J334/E334)</x:f>
        <x:v>11.859733683440611</x:v>
      </x:c>
      <x:c r="J334" s="27" t="n">
        <x:v>396.50230882618536</x:v>
      </x:c>
      <x:c r="K334" s="27"/>
      <x:c r="L334" s="27"/>
      <x:c r="M334" s="27" t="n">
        <x:v>2183.3333333333335</x:v>
      </x:c>
      <x:c r="N334" s="27" t="n">
        <x:v>2186.8333333333335</x:v>
      </x:c>
      <x:c r="O334" s="27" t="n">
        <x:v>0</x:v>
      </x:c>
      <x:c r="P334" s="27" t="n">
        <x:v>19.9999999999923</x:v>
      </x:c>
      <x:c r="Q334" s="1" t="str">
        <x:v>EXCAVATION</x:v>
      </x:c>
      <x:c r="R334" s="1" t="str">
        <x:v>CYR_STOPE_ACCESS_SCENARIO</x:v>
      </x:c>
    </x:row>
    <x:row r="335" ht="22" customHeight="1">
      <x:c r="A335" s="1" t="str">
        <x:v>CX-RIN-TJ-A3-C05</x:v>
      </x:c>
      <x:c r="B335" s="1" t="str">
        <x:v>CYR_OVERHAND</x:v>
      </x:c>
      <x:c r="C335" s="1" t="str">
        <x:v>TJ-A3</x:v>
      </x:c>
      <x:c r="D335" s="1" t="str">
        <x:v>5</x:v>
      </x:c>
      <x:c r="E335" s="27" t="n">
        <x:v>33.43264860827436</x:v>
      </x:c>
      <x:c r="F335" s="27" t="n">
        <x:v>3.5</x:v>
      </x:c>
      <x:c r="G335" s="27" t="n">
        <x:v>3.5</x:v>
      </x:c>
      <x:c r="H335" s="27" t="n">
        <x:v>11.874446785945535</x:v>
      </x:c>
      <x:c r="I335" s="27" t="n">
        <x:f>IF(OR(E335="",E335&lt;=0),"n.a.",J335/E335)</x:f>
        <x:v>11.859733683440032</x:v>
      </x:c>
      <x:c r="J335" s="27" t="n">
        <x:v>396.502308826166</x:v>
      </x:c>
      <x:c r="K335" s="27"/>
      <x:c r="L335" s="27"/>
      <x:c r="M335" s="27" t="n">
        <x:v>2183.3333333333335</x:v>
      </x:c>
      <x:c r="N335" s="27" t="n">
        <x:v>2186.8333333333335</x:v>
      </x:c>
      <x:c r="O335" s="27" t="n">
        <x:v>0</x:v>
      </x:c>
      <x:c r="P335" s="27" t="n">
        <x:v>19.9999999999923</x:v>
      </x:c>
      <x:c r="Q335" s="1" t="str">
        <x:v>EXCAVATION</x:v>
      </x:c>
      <x:c r="R335" s="1" t="str">
        <x:v>CYR_STOPE_ACCESS_SCENARIO</x:v>
      </x:c>
    </x:row>
    <x:row r="336" ht="22" customHeight="1">
      <x:c r="A336" s="1" t="str">
        <x:v>CX-RIN-TJ-A4-C05</x:v>
      </x:c>
      <x:c r="B336" s="1" t="str">
        <x:v>CYR_OVERHAND</x:v>
      </x:c>
      <x:c r="C336" s="1" t="str">
        <x:v>TJ-A4</x:v>
      </x:c>
      <x:c r="D336" s="1" t="str">
        <x:v>5</x:v>
      </x:c>
      <x:c r="E336" s="27" t="n">
        <x:v>33.43264860827436</x:v>
      </x:c>
      <x:c r="F336" s="27" t="n">
        <x:v>3.5</x:v>
      </x:c>
      <x:c r="G336" s="27" t="n">
        <x:v>3.5</x:v>
      </x:c>
      <x:c r="H336" s="27" t="n">
        <x:v>11.874446785945535</x:v>
      </x:c>
      <x:c r="I336" s="27" t="n">
        <x:f>IF(OR(E336="",E336&lt;=0),"n.a.",J336/E336)</x:f>
        <x:v>11.859733683440611</x:v>
      </x:c>
      <x:c r="J336" s="27" t="n">
        <x:v>396.50230882618536</x:v>
      </x:c>
      <x:c r="K336" s="27"/>
      <x:c r="L336" s="27"/>
      <x:c r="M336" s="27" t="n">
        <x:v>2183.3333333333335</x:v>
      </x:c>
      <x:c r="N336" s="27" t="n">
        <x:v>2186.8333333333335</x:v>
      </x:c>
      <x:c r="O336" s="27" t="n">
        <x:v>0</x:v>
      </x:c>
      <x:c r="P336" s="27" t="n">
        <x:v>19.9999999999923</x:v>
      </x:c>
      <x:c r="Q336" s="1" t="str">
        <x:v>EXCAVATION</x:v>
      </x:c>
      <x:c r="R336" s="1" t="str">
        <x:v>CYR_STOPE_ACCESS_SCENARIO</x:v>
      </x:c>
    </x:row>
    <x:row r="337" ht="22" customHeight="1">
      <x:c r="A337" s="1" t="str">
        <x:v>RIN-A-C06</x:v>
      </x:c>
      <x:c r="B337" s="1" t="str">
        <x:v>CYR_OVERHAND</x:v>
      </x:c>
      <x:c r="C337" s="1" t="str">
        <x:v>TJ-A_SHARED</x:v>
      </x:c>
      <x:c r="D337" s="1" t="str">
        <x:v>6</x:v>
      </x:c>
      <x:c r="E337" s="27" t="n">
        <x:v>162.0070085351845</x:v>
      </x:c>
      <x:c r="F337" s="27" t="n">
        <x:v>4.5</x:v>
      </x:c>
      <x:c r="G337" s="27" t="n">
        <x:v>4.5</x:v>
      </x:c>
      <x:c r="H337" s="27" t="n">
        <x:v>18.801437602932776</x:v>
      </x:c>
      <x:c r="I337" s="27" t="n">
        <x:f>IF(OR(E337="",E337&lt;=0),"n.a.",J337/E337)</x:f>
        <x:v>18.643608648167316</x:v>
      </x:c>
      <x:c r="J337" s="27" t="n">
        <x:v>3020.3952653902816</x:v>
      </x:c>
      <x:c r="K337" s="27"/>
      <x:c r="L337" s="27"/>
      <x:c r="M337" s="27" t="n">
        <x:v>2170</x:v>
      </x:c>
      <x:c r="N337" s="27" t="n">
        <x:v>2191.1666666666665</x:v>
      </x:c>
      <x:c r="O337" s="27" t="n">
        <x:v>10.342496333046405</x:v>
      </x:c>
      <x:c r="P337" s="27" t="n">
        <x:v>19.999999999994323</x:v>
      </x:c>
      <x:c r="Q337" s="1" t="str">
        <x:v>EXCAVATION</x:v>
      </x:c>
      <x:c r="R337" s="1" t="str">
        <x:v>CYR_RAMP_IN_SCENARIO</x:v>
      </x:c>
    </x:row>
    <x:row r="338" ht="22" customHeight="1">
      <x:c r="A338" s="1" t="str">
        <x:v>DIST-A-C06</x:v>
      </x:c>
      <x:c r="B338" s="1" t="str">
        <x:v>CYR_OVERHAND</x:v>
      </x:c>
      <x:c r="C338" s="1" t="str">
        <x:v>TJ-A_SHARED</x:v>
      </x:c>
      <x:c r="D338" s="1" t="str">
        <x:v>6</x:v>
      </x:c>
      <x:c r="E338" s="27" t="n">
        <x:v>140</x:v>
      </x:c>
      <x:c r="F338" s="27" t="n">
        <x:v>3.5</x:v>
      </x:c>
      <x:c r="G338" s="27" t="n">
        <x:v>3.5</x:v>
      </x:c>
      <x:c r="H338" s="27" t="n">
        <x:v>11.874446785945535</x:v>
      </x:c>
      <x:c r="I338" s="27" t="n">
        <x:f>IF(OR(E338="",E338&lt;=0),"n.a.",J338/E338)</x:f>
        <x:v>11.865632254113006</x:v>
      </x:c>
      <x:c r="J338" s="27" t="n">
        <x:v>1661.188515575821</x:v>
      </x:c>
      <x:c r="K338" s="27"/>
      <x:c r="L338" s="27"/>
      <x:c r="M338" s="27" t="n">
        <x:v>2186.6666666666665</x:v>
      </x:c>
      <x:c r="N338" s="27" t="n">
        <x:v>2190.1666666666665</x:v>
      </x:c>
      <x:c r="O338" s="27" t="n">
        <x:v>0</x:v>
      </x:c>
      <x:c r="P338" s="27"/>
      <x:c r="Q338" s="1" t="str">
        <x:v>EXCAVATION</x:v>
      </x:c>
      <x:c r="R338" s="1" t="str">
        <x:v>CYR_DISTRIBUTION_DRIFT_SCENARIO</x:v>
      </x:c>
    </x:row>
    <x:row r="339" ht="22" customHeight="1">
      <x:c r="A339" s="1" t="str">
        <x:v>CX-RIN-TJ-A1-C06</x:v>
      </x:c>
      <x:c r="B339" s="1" t="str">
        <x:v>CYR_OVERHAND</x:v>
      </x:c>
      <x:c r="C339" s="1" t="str">
        <x:v>TJ-A1</x:v>
      </x:c>
      <x:c r="D339" s="1" t="str">
        <x:v>6</x:v>
      </x:c>
      <x:c r="E339" s="27" t="n">
        <x:v>33.432648608274356</x:v>
      </x:c>
      <x:c r="F339" s="27" t="n">
        <x:v>3.5</x:v>
      </x:c>
      <x:c r="G339" s="27" t="n">
        <x:v>3.5</x:v>
      </x:c>
      <x:c r="H339" s="27" t="n">
        <x:v>11.874446785945535</x:v>
      </x:c>
      <x:c r="I339" s="27" t="n">
        <x:f>IF(OR(E339="",E339&lt;=0),"n.a.",J339/E339)</x:f>
        <x:v>11.859733683439744</x:v>
      </x:c>
      <x:c r="J339" s="27" t="n">
        <x:v>396.50230882615625</x:v>
      </x:c>
      <x:c r="K339" s="27"/>
      <x:c r="L339" s="27"/>
      <x:c r="M339" s="27" t="n">
        <x:v>2186.6666666666665</x:v>
      </x:c>
      <x:c r="N339" s="27" t="n">
        <x:v>2190.1666666666665</x:v>
      </x:c>
      <x:c r="O339" s="27" t="n">
        <x:v>0</x:v>
      </x:c>
      <x:c r="P339" s="27" t="n">
        <x:v>19.9999999999923</x:v>
      </x:c>
      <x:c r="Q339" s="1" t="str">
        <x:v>EXCAVATION</x:v>
      </x:c>
      <x:c r="R339" s="1" t="str">
        <x:v>CYR_STOPE_ACCESS_SCENARIO</x:v>
      </x:c>
    </x:row>
    <x:row r="340" ht="22" customHeight="1">
      <x:c r="A340" s="1" t="str">
        <x:v>CX-RIN-TJ-A2-C06</x:v>
      </x:c>
      <x:c r="B340" s="1" t="str">
        <x:v>CYR_OVERHAND</x:v>
      </x:c>
      <x:c r="C340" s="1" t="str">
        <x:v>TJ-A2</x:v>
      </x:c>
      <x:c r="D340" s="1" t="str">
        <x:v>6</x:v>
      </x:c>
      <x:c r="E340" s="27" t="n">
        <x:v>33.432648608274356</x:v>
      </x:c>
      <x:c r="F340" s="27" t="n">
        <x:v>3.5</x:v>
      </x:c>
      <x:c r="G340" s="27" t="n">
        <x:v>3.5</x:v>
      </x:c>
      <x:c r="H340" s="27" t="n">
        <x:v>11.874446785945535</x:v>
      </x:c>
      <x:c r="I340" s="27" t="n">
        <x:f>IF(OR(E340="",E340&lt;=0),"n.a.",J340/E340)</x:f>
        <x:v>11.859733683440615</x:v>
      </x:c>
      <x:c r="J340" s="27" t="n">
        <x:v>396.50230882618536</x:v>
      </x:c>
      <x:c r="K340" s="27"/>
      <x:c r="L340" s="27"/>
      <x:c r="M340" s="27" t="n">
        <x:v>2186.6666666666665</x:v>
      </x:c>
      <x:c r="N340" s="27" t="n">
        <x:v>2190.1666666666665</x:v>
      </x:c>
      <x:c r="O340" s="27" t="n">
        <x:v>0</x:v>
      </x:c>
      <x:c r="P340" s="27" t="n">
        <x:v>19.9999999999923</x:v>
      </x:c>
      <x:c r="Q340" s="1" t="str">
        <x:v>EXCAVATION</x:v>
      </x:c>
      <x:c r="R340" s="1" t="str">
        <x:v>CYR_STOPE_ACCESS_SCENARIO</x:v>
      </x:c>
    </x:row>
    <x:row r="341" ht="22" customHeight="1">
      <x:c r="A341" s="1" t="str">
        <x:v>CX-RIN-TJ-A3-C06</x:v>
      </x:c>
      <x:c r="B341" s="1" t="str">
        <x:v>CYR_OVERHAND</x:v>
      </x:c>
      <x:c r="C341" s="1" t="str">
        <x:v>TJ-A3</x:v>
      </x:c>
      <x:c r="D341" s="1" t="str">
        <x:v>6</x:v>
      </x:c>
      <x:c r="E341" s="27" t="n">
        <x:v>33.432648608274356</x:v>
      </x:c>
      <x:c r="F341" s="27" t="n">
        <x:v>3.5</x:v>
      </x:c>
      <x:c r="G341" s="27" t="n">
        <x:v>3.5</x:v>
      </x:c>
      <x:c r="H341" s="27" t="n">
        <x:v>11.874446785945535</x:v>
      </x:c>
      <x:c r="I341" s="27" t="n">
        <x:f>IF(OR(E341="",E341&lt;=0),"n.a.",J341/E341)</x:f>
        <x:v>11.859733683440615</x:v>
      </x:c>
      <x:c r="J341" s="27" t="n">
        <x:v>396.50230882618536</x:v>
      </x:c>
      <x:c r="K341" s="27"/>
      <x:c r="L341" s="27"/>
      <x:c r="M341" s="27" t="n">
        <x:v>2186.6666666666665</x:v>
      </x:c>
      <x:c r="N341" s="27" t="n">
        <x:v>2190.1666666666665</x:v>
      </x:c>
      <x:c r="O341" s="27" t="n">
        <x:v>0</x:v>
      </x:c>
      <x:c r="P341" s="27" t="n">
        <x:v>19.9999999999923</x:v>
      </x:c>
      <x:c r="Q341" s="1" t="str">
        <x:v>EXCAVATION</x:v>
      </x:c>
      <x:c r="R341" s="1" t="str">
        <x:v>CYR_STOPE_ACCESS_SCENARIO</x:v>
      </x:c>
    </x:row>
    <x:row r="342" ht="22" customHeight="1">
      <x:c r="A342" s="1" t="str">
        <x:v>CX-RIN-TJ-A4-C06</x:v>
      </x:c>
      <x:c r="B342" s="1" t="str">
        <x:v>CYR_OVERHAND</x:v>
      </x:c>
      <x:c r="C342" s="1" t="str">
        <x:v>TJ-A4</x:v>
      </x:c>
      <x:c r="D342" s="1" t="str">
        <x:v>6</x:v>
      </x:c>
      <x:c r="E342" s="27" t="n">
        <x:v>33.432648608274356</x:v>
      </x:c>
      <x:c r="F342" s="27" t="n">
        <x:v>3.5</x:v>
      </x:c>
      <x:c r="G342" s="27" t="n">
        <x:v>3.5</x:v>
      </x:c>
      <x:c r="H342" s="27" t="n">
        <x:v>11.874446785945535</x:v>
      </x:c>
      <x:c r="I342" s="27" t="n">
        <x:f>IF(OR(E342="",E342&lt;=0),"n.a.",J342/E342)</x:f>
        <x:v>11.859733683440906</x:v>
      </x:c>
      <x:c r="J342" s="27" t="n">
        <x:v>396.5023088261951</x:v>
      </x:c>
      <x:c r="K342" s="27"/>
      <x:c r="L342" s="27"/>
      <x:c r="M342" s="27" t="n">
        <x:v>2186.6666666666665</x:v>
      </x:c>
      <x:c r="N342" s="27" t="n">
        <x:v>2190.1666666666665</x:v>
      </x:c>
      <x:c r="O342" s="27" t="n">
        <x:v>0</x:v>
      </x:c>
      <x:c r="P342" s="27" t="n">
        <x:v>19.9999999999923</x:v>
      </x:c>
      <x:c r="Q342" s="1" t="str">
        <x:v>EXCAVATION</x:v>
      </x:c>
      <x:c r="R342" s="1" t="str">
        <x:v>CYR_STOPE_ACCESS_SCENARIO</x:v>
      </x:c>
    </x:row>
    <x:row r="343" ht="22" customHeight="1">
      <x:c r="A343" s="1" t="str">
        <x:v>RIN-A-C07</x:v>
      </x:c>
      <x:c r="B343" s="1" t="str">
        <x:v>CYR_OVERHAND</x:v>
      </x:c>
      <x:c r="C343" s="1" t="str">
        <x:v>TJ-A_SHARED</x:v>
      </x:c>
      <x:c r="D343" s="1" t="str">
        <x:v>7</x:v>
      </x:c>
      <x:c r="E343" s="27" t="n">
        <x:v>165.61324627819016</x:v>
      </x:c>
      <x:c r="F343" s="27" t="n">
        <x:v>4.5</x:v>
      </x:c>
      <x:c r="G343" s="27" t="n">
        <x:v>4.5</x:v>
      </x:c>
      <x:c r="H343" s="27" t="n">
        <x:v>18.801437602932776</x:v>
      </x:c>
      <x:c r="I343" s="27" t="n">
        <x:f>IF(OR(E343="",E343&lt;=0),"n.a.",J343/E343)</x:f>
        <x:v>18.75071489021219</x:v>
      </x:c>
      <x:c r="J343" s="27" t="n">
        <x:v>3105.366763004839</x:v>
      </x:c>
      <x:c r="K343" s="27"/>
      <x:c r="L343" s="27"/>
      <x:c r="M343" s="27" t="n">
        <x:v>2190</x:v>
      </x:c>
      <x:c r="N343" s="27" t="n">
        <x:v>2194.5</x:v>
      </x:c>
      <x:c r="O343" s="27" t="n">
        <x:v>0</x:v>
      </x:c>
      <x:c r="P343" s="27" t="n">
        <x:v>19.999999999994323</x:v>
      </x:c>
      <x:c r="Q343" s="1" t="str">
        <x:v>EXCAVATION</x:v>
      </x:c>
      <x:c r="R343" s="1" t="str">
        <x:v>CYR_RAMP_IN_SCENARIO</x:v>
      </x:c>
    </x:row>
    <x:row r="344" ht="22" customHeight="1">
      <x:c r="A344" s="1" t="str">
        <x:v>DIST-A-C07</x:v>
      </x:c>
      <x:c r="B344" s="1" t="str">
        <x:v>CYR_OVERHAND</x:v>
      </x:c>
      <x:c r="C344" s="1" t="str">
        <x:v>TJ-A_SHARED</x:v>
      </x:c>
      <x:c r="D344" s="1" t="str">
        <x:v>7</x:v>
      </x:c>
      <x:c r="E344" s="27" t="n">
        <x:v>140</x:v>
      </x:c>
      <x:c r="F344" s="27" t="n">
        <x:v>3.5</x:v>
      </x:c>
      <x:c r="G344" s="27" t="n">
        <x:v>3.5</x:v>
      </x:c>
      <x:c r="H344" s="27" t="n">
        <x:v>11.874446785945535</x:v>
      </x:c>
      <x:c r="I344" s="27" t="n">
        <x:f>IF(OR(E344="",E344&lt;=0),"n.a.",J344/E344)</x:f>
        <x:v>11.865632254112521</x:v>
      </x:c>
      <x:c r="J344" s="27" t="n">
        <x:v>1661.188515575753</x:v>
      </x:c>
      <x:c r="K344" s="27"/>
      <x:c r="L344" s="27"/>
      <x:c r="M344" s="27" t="n">
        <x:v>2190</x:v>
      </x:c>
      <x:c r="N344" s="27" t="n">
        <x:v>2193.5</x:v>
      </x:c>
      <x:c r="O344" s="27" t="n">
        <x:v>0</x:v>
      </x:c>
      <x:c r="P344" s="27"/>
      <x:c r="Q344" s="1" t="str">
        <x:v>EXCAVATION</x:v>
      </x:c>
      <x:c r="R344" s="1" t="str">
        <x:v>CYR_DISTRIBUTION_DRIFT_SCENARIO</x:v>
      </x:c>
    </x:row>
    <x:row r="345" ht="22" customHeight="1">
      <x:c r="A345" s="1" t="str">
        <x:v>CX-RIN-TJ-A1-C07</x:v>
      </x:c>
      <x:c r="B345" s="1" t="str">
        <x:v>CYR_OVERHAND</x:v>
      </x:c>
      <x:c r="C345" s="1" t="str">
        <x:v>TJ-A1</x:v>
      </x:c>
      <x:c r="D345" s="1" t="str">
        <x:v>7</x:v>
      </x:c>
      <x:c r="E345" s="27" t="n">
        <x:v>33.43264860827436</x:v>
      </x:c>
      <x:c r="F345" s="27" t="n">
        <x:v>3.5</x:v>
      </x:c>
      <x:c r="G345" s="27" t="n">
        <x:v>3.5</x:v>
      </x:c>
      <x:c r="H345" s="27" t="n">
        <x:v>11.874446785945535</x:v>
      </x:c>
      <x:c r="I345" s="27" t="n">
        <x:f>IF(OR(E345="",E345&lt;=0),"n.a.",J345/E345)</x:f>
        <x:v>11.859733683440323</x:v>
      </x:c>
      <x:c r="J345" s="27" t="n">
        <x:v>396.5023088261757</x:v>
      </x:c>
      <x:c r="K345" s="27"/>
      <x:c r="L345" s="27"/>
      <x:c r="M345" s="27" t="n">
        <x:v>2190</x:v>
      </x:c>
      <x:c r="N345" s="27" t="n">
        <x:v>2193.5</x:v>
      </x:c>
      <x:c r="O345" s="27" t="n">
        <x:v>0</x:v>
      </x:c>
      <x:c r="P345" s="27" t="n">
        <x:v>19.9999999999923</x:v>
      </x:c>
      <x:c r="Q345" s="1" t="str">
        <x:v>EXCAVATION</x:v>
      </x:c>
      <x:c r="R345" s="1" t="str">
        <x:v>CYR_STOPE_ACCESS_SCENARIO</x:v>
      </x:c>
    </x:row>
    <x:row r="346" ht="22" customHeight="1">
      <x:c r="A346" s="1" t="str">
        <x:v>CX-RIN-TJ-A2-C07</x:v>
      </x:c>
      <x:c r="B346" s="1" t="str">
        <x:v>CYR_OVERHAND</x:v>
      </x:c>
      <x:c r="C346" s="1" t="str">
        <x:v>TJ-A2</x:v>
      </x:c>
      <x:c r="D346" s="1" t="str">
        <x:v>7</x:v>
      </x:c>
      <x:c r="E346" s="27" t="n">
        <x:v>33.43264860827436</x:v>
      </x:c>
      <x:c r="F346" s="27" t="n">
        <x:v>3.5</x:v>
      </x:c>
      <x:c r="G346" s="27" t="n">
        <x:v>3.5</x:v>
      </x:c>
      <x:c r="H346" s="27" t="n">
        <x:v>11.874446785945535</x:v>
      </x:c>
      <x:c r="I346" s="27" t="n">
        <x:f>IF(OR(E346="",E346&lt;=0),"n.a.",J346/E346)</x:f>
        <x:v>11.859733683441194</x:v>
      </x:c>
      <x:c r="J346" s="27" t="n">
        <x:v>396.5023088262048</x:v>
      </x:c>
      <x:c r="K346" s="27"/>
      <x:c r="L346" s="27"/>
      <x:c r="M346" s="27" t="n">
        <x:v>2190</x:v>
      </x:c>
      <x:c r="N346" s="27" t="n">
        <x:v>2193.5</x:v>
      </x:c>
      <x:c r="O346" s="27" t="n">
        <x:v>0</x:v>
      </x:c>
      <x:c r="P346" s="27" t="n">
        <x:v>19.9999999999923</x:v>
      </x:c>
      <x:c r="Q346" s="1" t="str">
        <x:v>EXCAVATION</x:v>
      </x:c>
      <x:c r="R346" s="1" t="str">
        <x:v>CYR_STOPE_ACCESS_SCENARIO</x:v>
      </x:c>
    </x:row>
    <x:row r="347" ht="22" customHeight="1">
      <x:c r="A347" s="1" t="str">
        <x:v>CX-RIN-TJ-A3-C07</x:v>
      </x:c>
      <x:c r="B347" s="1" t="str">
        <x:v>CYR_OVERHAND</x:v>
      </x:c>
      <x:c r="C347" s="1" t="str">
        <x:v>TJ-A3</x:v>
      </x:c>
      <x:c r="D347" s="1" t="str">
        <x:v>7</x:v>
      </x:c>
      <x:c r="E347" s="27" t="n">
        <x:v>33.43264860827436</x:v>
      </x:c>
      <x:c r="F347" s="27" t="n">
        <x:v>3.5</x:v>
      </x:c>
      <x:c r="G347" s="27" t="n">
        <x:v>3.5</x:v>
      </x:c>
      <x:c r="H347" s="27" t="n">
        <x:v>11.874446785945535</x:v>
      </x:c>
      <x:c r="I347" s="27" t="n">
        <x:f>IF(OR(E347="",E347&lt;=0),"n.a.",J347/E347)</x:f>
        <x:v>11.859733683440323</x:v>
      </x:c>
      <x:c r="J347" s="27" t="n">
        <x:v>396.5023088261757</x:v>
      </x:c>
      <x:c r="K347" s="27"/>
      <x:c r="L347" s="27"/>
      <x:c r="M347" s="27" t="n">
        <x:v>2190</x:v>
      </x:c>
      <x:c r="N347" s="27" t="n">
        <x:v>2193.5</x:v>
      </x:c>
      <x:c r="O347" s="27" t="n">
        <x:v>0</x:v>
      </x:c>
      <x:c r="P347" s="27" t="n">
        <x:v>19.9999999999923</x:v>
      </x:c>
      <x:c r="Q347" s="1" t="str">
        <x:v>EXCAVATION</x:v>
      </x:c>
      <x:c r="R347" s="1" t="str">
        <x:v>CYR_STOPE_ACCESS_SCENARIO</x:v>
      </x:c>
    </x:row>
    <x:row r="348" ht="22" customHeight="1">
      <x:c r="A348" s="1" t="str">
        <x:v>CX-RIN-TJ-A4-C07</x:v>
      </x:c>
      <x:c r="B348" s="1" t="str">
        <x:v>CYR_OVERHAND</x:v>
      </x:c>
      <x:c r="C348" s="1" t="str">
        <x:v>TJ-A4</x:v>
      </x:c>
      <x:c r="D348" s="1" t="str">
        <x:v>7</x:v>
      </x:c>
      <x:c r="E348" s="27" t="n">
        <x:v>33.43264860827436</x:v>
      </x:c>
      <x:c r="F348" s="27" t="n">
        <x:v>3.5</x:v>
      </x:c>
      <x:c r="G348" s="27" t="n">
        <x:v>3.5</x:v>
      </x:c>
      <x:c r="H348" s="27" t="n">
        <x:v>11.874446785945535</x:v>
      </x:c>
      <x:c r="I348" s="27" t="n">
        <x:f>IF(OR(E348="",E348&lt;=0),"n.a.",J348/E348)</x:f>
        <x:v>11.859733683440032</x:v>
      </x:c>
      <x:c r="J348" s="27" t="n">
        <x:v>396.502308826166</x:v>
      </x:c>
      <x:c r="K348" s="27"/>
      <x:c r="L348" s="27"/>
      <x:c r="M348" s="27" t="n">
        <x:v>2190</x:v>
      </x:c>
      <x:c r="N348" s="27" t="n">
        <x:v>2193.5</x:v>
      </x:c>
      <x:c r="O348" s="27" t="n">
        <x:v>0</x:v>
      </x:c>
      <x:c r="P348" s="27" t="n">
        <x:v>19.9999999999923</x:v>
      </x:c>
      <x:c r="Q348" s="1" t="str">
        <x:v>EXCAVATION</x:v>
      </x:c>
      <x:c r="R348" s="1" t="str">
        <x:v>CYR_STOPE_ACCESS_SCENARIO</x:v>
      </x:c>
    </x:row>
    <x:row r="349" ht="22" customHeight="1">
      <x:c r="A349" s="1" t="str">
        <x:v>RIN-A-C08</x:v>
      </x:c>
      <x:c r="B349" s="1" t="str">
        <x:v>CYR_OVERHAND</x:v>
      </x:c>
      <x:c r="C349" s="1" t="str">
        <x:v>TJ-A_SHARED</x:v>
      </x:c>
      <x:c r="D349" s="1" t="str">
        <x:v>8</x:v>
      </x:c>
      <x:c r="E349" s="27" t="n">
        <x:v>164.75380610218528</x:v>
      </x:c>
      <x:c r="F349" s="27" t="n">
        <x:v>4.5</x:v>
      </x:c>
      <x:c r="G349" s="27" t="n">
        <x:v>4.5</x:v>
      </x:c>
      <x:c r="H349" s="27" t="n">
        <x:v>18.801437602932776</x:v>
      </x:c>
      <x:c r="I349" s="27" t="n">
        <x:f>IF(OR(E349="",E349&lt;=0),"n.a.",J349/E349)</x:f>
        <x:v>18.745407130712874</x:v>
      </x:c>
      <x:c r="J349" s="27" t="n">
        <x:v>3088.37717171999</x:v>
      </x:c>
      <x:c r="K349" s="27"/>
      <x:c r="L349" s="27"/>
      <x:c r="M349" s="27" t="n">
        <x:v>2190</x:v>
      </x:c>
      <x:c r="N349" s="27" t="n">
        <x:v>2197.8333333333335</x:v>
      </x:c>
      <x:c r="O349" s="27" t="n">
        <x:v>2.0236350581676277</x:v>
      </x:c>
      <x:c r="P349" s="27" t="n">
        <x:v>19.999999999994323</x:v>
      </x:c>
      <x:c r="Q349" s="1" t="str">
        <x:v>EXCAVATION</x:v>
      </x:c>
      <x:c r="R349" s="1" t="str">
        <x:v>CYR_RAMP_IN_SCENARIO</x:v>
      </x:c>
    </x:row>
    <x:row r="350" ht="22" customHeight="1">
      <x:c r="A350" s="1" t="str">
        <x:v>DIST-A-C08</x:v>
      </x:c>
      <x:c r="B350" s="1" t="str">
        <x:v>CYR_OVERHAND</x:v>
      </x:c>
      <x:c r="C350" s="1" t="str">
        <x:v>TJ-A_SHARED</x:v>
      </x:c>
      <x:c r="D350" s="1" t="str">
        <x:v>8</x:v>
      </x:c>
      <x:c r="E350" s="27" t="n">
        <x:v>140</x:v>
      </x:c>
      <x:c r="F350" s="27" t="n">
        <x:v>3.5</x:v>
      </x:c>
      <x:c r="G350" s="27" t="n">
        <x:v>3.5</x:v>
      </x:c>
      <x:c r="H350" s="27" t="n">
        <x:v>11.874446785945535</x:v>
      </x:c>
      <x:c r="I350" s="27" t="n">
        <x:f>IF(OR(E350="",E350&lt;=0),"n.a.",J350/E350)</x:f>
        <x:v>11.865632254112972</x:v>
      </x:c>
      <x:c r="J350" s="27" t="n">
        <x:v>1661.1885155758162</x:v>
      </x:c>
      <x:c r="K350" s="27"/>
      <x:c r="L350" s="27"/>
      <x:c r="M350" s="27" t="n">
        <x:v>2193.3333333333335</x:v>
      </x:c>
      <x:c r="N350" s="27" t="n">
        <x:v>2196.8333333333335</x:v>
      </x:c>
      <x:c r="O350" s="27" t="n">
        <x:v>0</x:v>
      </x:c>
      <x:c r="P350" s="27"/>
      <x:c r="Q350" s="1" t="str">
        <x:v>EXCAVATION</x:v>
      </x:c>
      <x:c r="R350" s="1" t="str">
        <x:v>CYR_DISTRIBUTION_DRIFT_SCENARIO</x:v>
      </x:c>
    </x:row>
    <x:row r="351" ht="22" customHeight="1">
      <x:c r="A351" s="1" t="str">
        <x:v>CX-RIN-TJ-A1-C08</x:v>
      </x:c>
      <x:c r="B351" s="1" t="str">
        <x:v>CYR_OVERHAND</x:v>
      </x:c>
      <x:c r="C351" s="1" t="str">
        <x:v>TJ-A1</x:v>
      </x:c>
      <x:c r="D351" s="1" t="str">
        <x:v>8</x:v>
      </x:c>
      <x:c r="E351" s="27" t="n">
        <x:v>33.43264860827436</x:v>
      </x:c>
      <x:c r="F351" s="27" t="n">
        <x:v>3.5</x:v>
      </x:c>
      <x:c r="G351" s="27" t="n">
        <x:v>3.5</x:v>
      </x:c>
      <x:c r="H351" s="27" t="n">
        <x:v>11.874446785945535</x:v>
      </x:c>
      <x:c r="I351" s="27" t="n">
        <x:f>IF(OR(E351="",E351&lt;=0),"n.a.",J351/E351)</x:f>
        <x:v>11.859733683440323</x:v>
      </x:c>
      <x:c r="J351" s="27" t="n">
        <x:v>396.5023088261757</x:v>
      </x:c>
      <x:c r="K351" s="27"/>
      <x:c r="L351" s="27"/>
      <x:c r="M351" s="27" t="n">
        <x:v>2193.3333333333335</x:v>
      </x:c>
      <x:c r="N351" s="27" t="n">
        <x:v>2196.8333333333335</x:v>
      </x:c>
      <x:c r="O351" s="27" t="n">
        <x:v>0</x:v>
      </x:c>
      <x:c r="P351" s="27" t="n">
        <x:v>19.9999999999923</x:v>
      </x:c>
      <x:c r="Q351" s="1" t="str">
        <x:v>EXCAVATION</x:v>
      </x:c>
      <x:c r="R351" s="1" t="str">
        <x:v>CYR_STOPE_ACCESS_SCENARIO</x:v>
      </x:c>
    </x:row>
    <x:row r="352" ht="22" customHeight="1">
      <x:c r="A352" s="1" t="str">
        <x:v>CX-RIN-TJ-A2-C08</x:v>
      </x:c>
      <x:c r="B352" s="1" t="str">
        <x:v>CYR_OVERHAND</x:v>
      </x:c>
      <x:c r="C352" s="1" t="str">
        <x:v>TJ-A2</x:v>
      </x:c>
      <x:c r="D352" s="1" t="str">
        <x:v>8</x:v>
      </x:c>
      <x:c r="E352" s="27" t="n">
        <x:v>33.43264860827436</x:v>
      </x:c>
      <x:c r="F352" s="27" t="n">
        <x:v>3.5</x:v>
      </x:c>
      <x:c r="G352" s="27" t="n">
        <x:v>3.5</x:v>
      </x:c>
      <x:c r="H352" s="27" t="n">
        <x:v>11.874446785945535</x:v>
      </x:c>
      <x:c r="I352" s="27" t="n">
        <x:f>IF(OR(E352="",E352&lt;=0),"n.a.",J352/E352)</x:f>
        <x:v>11.85973368343974</x:v>
      </x:c>
      <x:c r="J352" s="27" t="n">
        <x:v>396.50230882615625</x:v>
      </x:c>
      <x:c r="K352" s="27"/>
      <x:c r="L352" s="27"/>
      <x:c r="M352" s="27" t="n">
        <x:v>2193.3333333333335</x:v>
      </x:c>
      <x:c r="N352" s="27" t="n">
        <x:v>2196.8333333333335</x:v>
      </x:c>
      <x:c r="O352" s="27" t="n">
        <x:v>0</x:v>
      </x:c>
      <x:c r="P352" s="27" t="n">
        <x:v>19.9999999999923</x:v>
      </x:c>
      <x:c r="Q352" s="1" t="str">
        <x:v>EXCAVATION</x:v>
      </x:c>
      <x:c r="R352" s="1" t="str">
        <x:v>CYR_STOPE_ACCESS_SCENARIO</x:v>
      </x:c>
    </x:row>
    <x:row r="353" ht="22" customHeight="1">
      <x:c r="A353" s="1" t="str">
        <x:v>CX-RIN-TJ-A3-C08</x:v>
      </x:c>
      <x:c r="B353" s="1" t="str">
        <x:v>CYR_OVERHAND</x:v>
      </x:c>
      <x:c r="C353" s="1" t="str">
        <x:v>TJ-A3</x:v>
      </x:c>
      <x:c r="D353" s="1" t="str">
        <x:v>8</x:v>
      </x:c>
      <x:c r="E353" s="27" t="n">
        <x:v>33.43264860827436</x:v>
      </x:c>
      <x:c r="F353" s="27" t="n">
        <x:v>3.5</x:v>
      </x:c>
      <x:c r="G353" s="27" t="n">
        <x:v>3.5</x:v>
      </x:c>
      <x:c r="H353" s="27" t="n">
        <x:v>11.874446785945535</x:v>
      </x:c>
      <x:c r="I353" s="27" t="n">
        <x:f>IF(OR(E353="",E353&lt;=0),"n.a.",J353/E353)</x:f>
        <x:v>11.859733683440032</x:v>
      </x:c>
      <x:c r="J353" s="27" t="n">
        <x:v>396.502308826166</x:v>
      </x:c>
      <x:c r="K353" s="27"/>
      <x:c r="L353" s="27"/>
      <x:c r="M353" s="27" t="n">
        <x:v>2193.3333333333335</x:v>
      </x:c>
      <x:c r="N353" s="27" t="n">
        <x:v>2196.8333333333335</x:v>
      </x:c>
      <x:c r="O353" s="27" t="n">
        <x:v>0</x:v>
      </x:c>
      <x:c r="P353" s="27" t="n">
        <x:v>19.9999999999923</x:v>
      </x:c>
      <x:c r="Q353" s="1" t="str">
        <x:v>EXCAVATION</x:v>
      </x:c>
      <x:c r="R353" s="1" t="str">
        <x:v>CYR_STOPE_ACCESS_SCENARIO</x:v>
      </x:c>
    </x:row>
    <x:row r="354" ht="22" customHeight="1">
      <x:c r="A354" s="1" t="str">
        <x:v>CX-RIN-TJ-A4-C08</x:v>
      </x:c>
      <x:c r="B354" s="1" t="str">
        <x:v>CYR_OVERHAND</x:v>
      </x:c>
      <x:c r="C354" s="1" t="str">
        <x:v>TJ-A4</x:v>
      </x:c>
      <x:c r="D354" s="1" t="str">
        <x:v>8</x:v>
      </x:c>
      <x:c r="E354" s="27" t="n">
        <x:v>33.43264860827436</x:v>
      </x:c>
      <x:c r="F354" s="27" t="n">
        <x:v>3.5</x:v>
      </x:c>
      <x:c r="G354" s="27" t="n">
        <x:v>3.5</x:v>
      </x:c>
      <x:c r="H354" s="27" t="n">
        <x:v>11.874446785945535</x:v>
      </x:c>
      <x:c r="I354" s="27" t="n">
        <x:f>IF(OR(E354="",E354&lt;=0),"n.a.",J354/E354)</x:f>
        <x:v>11.85973368343974</x:v>
      </x:c>
      <x:c r="J354" s="27" t="n">
        <x:v>396.50230882615625</x:v>
      </x:c>
      <x:c r="K354" s="27"/>
      <x:c r="L354" s="27"/>
      <x:c r="M354" s="27" t="n">
        <x:v>2193.3333333333335</x:v>
      </x:c>
      <x:c r="N354" s="27" t="n">
        <x:v>2196.8333333333335</x:v>
      </x:c>
      <x:c r="O354" s="27" t="n">
        <x:v>0</x:v>
      </x:c>
      <x:c r="P354" s="27" t="n">
        <x:v>19.9999999999923</x:v>
      </x:c>
      <x:c r="Q354" s="1" t="str">
        <x:v>EXCAVATION</x:v>
      </x:c>
      <x:c r="R354" s="1" t="str">
        <x:v>CYR_STOPE_ACCESS_SCENARIO</x:v>
      </x:c>
    </x:row>
    <x:row r="355" ht="22" customHeight="1">
      <x:c r="A355" s="1" t="str">
        <x:v>RIN-A-C09</x:v>
      </x:c>
      <x:c r="B355" s="1" t="str">
        <x:v>CYR_OVERHAND</x:v>
      </x:c>
      <x:c r="C355" s="1" t="str">
        <x:v>TJ-A_SHARED</x:v>
      </x:c>
      <x:c r="D355" s="1" t="str">
        <x:v>9</x:v>
      </x:c>
      <x:c r="E355" s="27" t="n">
        <x:v>163.96250673097916</x:v>
      </x:c>
      <x:c r="F355" s="27" t="n">
        <x:v>4.5</x:v>
      </x:c>
      <x:c r="G355" s="27" t="n">
        <x:v>4.5</x:v>
      </x:c>
      <x:c r="H355" s="27" t="n">
        <x:v>18.801437602932776</x:v>
      </x:c>
      <x:c r="I355" s="27" t="n">
        <x:f>IF(OR(E355="",E355&lt;=0),"n.a.",J355/E355)</x:f>
        <x:v>18.7322579292954</x:v>
      </x:c>
      <x:c r="J355" s="27" t="n">
        <x:v>3071.387966818535</x:v>
      </x:c>
      <x:c r="K355" s="27"/>
      <x:c r="L355" s="27"/>
      <x:c r="M355" s="27" t="n">
        <x:v>2190</x:v>
      </x:c>
      <x:c r="N355" s="27" t="n">
        <x:v>2201.1666666666665</x:v>
      </x:c>
      <x:c r="O355" s="27" t="n">
        <x:v>4.069335329432149</x:v>
      </x:c>
      <x:c r="P355" s="27" t="n">
        <x:v>19.999999999994323</x:v>
      </x:c>
      <x:c r="Q355" s="1" t="str">
        <x:v>EXCAVATION</x:v>
      </x:c>
      <x:c r="R355" s="1" t="str">
        <x:v>CYR_RAMP_IN_SCENARIO</x:v>
      </x:c>
    </x:row>
    <x:row r="356" ht="22" customHeight="1">
      <x:c r="A356" s="1" t="str">
        <x:v>DIST-A-C09</x:v>
      </x:c>
      <x:c r="B356" s="1" t="str">
        <x:v>CYR_OVERHAND</x:v>
      </x:c>
      <x:c r="C356" s="1" t="str">
        <x:v>TJ-A_SHARED</x:v>
      </x:c>
      <x:c r="D356" s="1" t="str">
        <x:v>9</x:v>
      </x:c>
      <x:c r="E356" s="27" t="n">
        <x:v>140</x:v>
      </x:c>
      <x:c r="F356" s="27" t="n">
        <x:v>3.5</x:v>
      </x:c>
      <x:c r="G356" s="27" t="n">
        <x:v>3.5</x:v>
      </x:c>
      <x:c r="H356" s="27" t="n">
        <x:v>11.874446785945535</x:v>
      </x:c>
      <x:c r="I356" s="27" t="n">
        <x:f>IF(OR(E356="",E356&lt;=0),"n.a.",J356/E356)</x:f>
        <x:v>11.865632254112834</x:v>
      </x:c>
      <x:c r="J356" s="27" t="n">
        <x:v>1661.1885155757966</x:v>
      </x:c>
      <x:c r="K356" s="27"/>
      <x:c r="L356" s="27"/>
      <x:c r="M356" s="27" t="n">
        <x:v>2196.6666666666665</x:v>
      </x:c>
      <x:c r="N356" s="27" t="n">
        <x:v>2200.1666666666665</x:v>
      </x:c>
      <x:c r="O356" s="27" t="n">
        <x:v>0</x:v>
      </x:c>
      <x:c r="P356" s="27"/>
      <x:c r="Q356" s="1" t="str">
        <x:v>EXCAVATION</x:v>
      </x:c>
      <x:c r="R356" s="1" t="str">
        <x:v>CYR_DISTRIBUTION_DRIFT_SCENARIO</x:v>
      </x:c>
    </x:row>
    <x:row r="357" ht="22" customHeight="1">
      <x:c r="A357" s="1" t="str">
        <x:v>CX-RIN-TJ-A1-C09</x:v>
      </x:c>
      <x:c r="B357" s="1" t="str">
        <x:v>CYR_OVERHAND</x:v>
      </x:c>
      <x:c r="C357" s="1" t="str">
        <x:v>TJ-A1</x:v>
      </x:c>
      <x:c r="D357" s="1" t="str">
        <x:v>9</x:v>
      </x:c>
      <x:c r="E357" s="27" t="n">
        <x:v>33.43264860827436</x:v>
      </x:c>
      <x:c r="F357" s="27" t="n">
        <x:v>3.5</x:v>
      </x:c>
      <x:c r="G357" s="27" t="n">
        <x:v>3.5</x:v>
      </x:c>
      <x:c r="H357" s="27" t="n">
        <x:v>11.874446785945535</x:v>
      </x:c>
      <x:c r="I357" s="27" t="n">
        <x:f>IF(OR(E357="",E357&lt;=0),"n.a.",J357/E357)</x:f>
        <x:v>11.859733683440611</x:v>
      </x:c>
      <x:c r="J357" s="27" t="n">
        <x:v>396.50230882618536</x:v>
      </x:c>
      <x:c r="K357" s="27"/>
      <x:c r="L357" s="27"/>
      <x:c r="M357" s="27" t="n">
        <x:v>2196.6666666666665</x:v>
      </x:c>
      <x:c r="N357" s="27" t="n">
        <x:v>2200.1666666666665</x:v>
      </x:c>
      <x:c r="O357" s="27" t="n">
        <x:v>0</x:v>
      </x:c>
      <x:c r="P357" s="27" t="n">
        <x:v>19.9999999999923</x:v>
      </x:c>
      <x:c r="Q357" s="1" t="str">
        <x:v>EXCAVATION</x:v>
      </x:c>
      <x:c r="R357" s="1" t="str">
        <x:v>CYR_STOPE_ACCESS_SCENARIO</x:v>
      </x:c>
    </x:row>
    <x:row r="358" ht="22" customHeight="1">
      <x:c r="A358" s="1" t="str">
        <x:v>CX-RIN-TJ-A2-C09</x:v>
      </x:c>
      <x:c r="B358" s="1" t="str">
        <x:v>CYR_OVERHAND</x:v>
      </x:c>
      <x:c r="C358" s="1" t="str">
        <x:v>TJ-A2</x:v>
      </x:c>
      <x:c r="D358" s="1" t="str">
        <x:v>9</x:v>
      </x:c>
      <x:c r="E358" s="27" t="n">
        <x:v>33.43264860827436</x:v>
      </x:c>
      <x:c r="F358" s="27" t="n">
        <x:v>3.5</x:v>
      </x:c>
      <x:c r="G358" s="27" t="n">
        <x:v>3.5</x:v>
      </x:c>
      <x:c r="H358" s="27" t="n">
        <x:v>11.874446785945535</x:v>
      </x:c>
      <x:c r="I358" s="27" t="n">
        <x:f>IF(OR(E358="",E358&lt;=0),"n.a.",J358/E358)</x:f>
        <x:v>11.85973368343974</x:v>
      </x:c>
      <x:c r="J358" s="27" t="n">
        <x:v>396.50230882615625</x:v>
      </x:c>
      <x:c r="K358" s="27"/>
      <x:c r="L358" s="27"/>
      <x:c r="M358" s="27" t="n">
        <x:v>2196.6666666666665</x:v>
      </x:c>
      <x:c r="N358" s="27" t="n">
        <x:v>2200.1666666666665</x:v>
      </x:c>
      <x:c r="O358" s="27" t="n">
        <x:v>0</x:v>
      </x:c>
      <x:c r="P358" s="27" t="n">
        <x:v>19.9999999999923</x:v>
      </x:c>
      <x:c r="Q358" s="1" t="str">
        <x:v>EXCAVATION</x:v>
      </x:c>
      <x:c r="R358" s="1" t="str">
        <x:v>CYR_STOPE_ACCESS_SCENARIO</x:v>
      </x:c>
    </x:row>
    <x:row r="359" ht="22" customHeight="1">
      <x:c r="A359" s="1" t="str">
        <x:v>CX-RIN-TJ-A3-C09</x:v>
      </x:c>
      <x:c r="B359" s="1" t="str">
        <x:v>CYR_OVERHAND</x:v>
      </x:c>
      <x:c r="C359" s="1" t="str">
        <x:v>TJ-A3</x:v>
      </x:c>
      <x:c r="D359" s="1" t="str">
        <x:v>9</x:v>
      </x:c>
      <x:c r="E359" s="27" t="n">
        <x:v>33.43264860827436</x:v>
      </x:c>
      <x:c r="F359" s="27" t="n">
        <x:v>3.5</x:v>
      </x:c>
      <x:c r="G359" s="27" t="n">
        <x:v>3.5</x:v>
      </x:c>
      <x:c r="H359" s="27" t="n">
        <x:v>11.874446785945535</x:v>
      </x:c>
      <x:c r="I359" s="27" t="n">
        <x:f>IF(OR(E359="",E359&lt;=0),"n.a.",J359/E359)</x:f>
        <x:v>11.85973368343974</x:v>
      </x:c>
      <x:c r="J359" s="27" t="n">
        <x:v>396.50230882615625</x:v>
      </x:c>
      <x:c r="K359" s="27"/>
      <x:c r="L359" s="27"/>
      <x:c r="M359" s="27" t="n">
        <x:v>2196.6666666666665</x:v>
      </x:c>
      <x:c r="N359" s="27" t="n">
        <x:v>2200.1666666666665</x:v>
      </x:c>
      <x:c r="O359" s="27" t="n">
        <x:v>0</x:v>
      </x:c>
      <x:c r="P359" s="27" t="n">
        <x:v>19.9999999999923</x:v>
      </x:c>
      <x:c r="Q359" s="1" t="str">
        <x:v>EXCAVATION</x:v>
      </x:c>
      <x:c r="R359" s="1" t="str">
        <x:v>CYR_STOPE_ACCESS_SCENARIO</x:v>
      </x:c>
    </x:row>
    <x:row r="360" ht="22" customHeight="1">
      <x:c r="A360" s="1" t="str">
        <x:v>CX-RIN-TJ-A4-C09</x:v>
      </x:c>
      <x:c r="B360" s="1" t="str">
        <x:v>CYR_OVERHAND</x:v>
      </x:c>
      <x:c r="C360" s="1" t="str">
        <x:v>TJ-A4</x:v>
      </x:c>
      <x:c r="D360" s="1" t="str">
        <x:v>9</x:v>
      </x:c>
      <x:c r="E360" s="27" t="n">
        <x:v>33.43264860827436</x:v>
      </x:c>
      <x:c r="F360" s="27" t="n">
        <x:v>3.5</x:v>
      </x:c>
      <x:c r="G360" s="27" t="n">
        <x:v>3.5</x:v>
      </x:c>
      <x:c r="H360" s="27" t="n">
        <x:v>11.874446785945535</x:v>
      </x:c>
      <x:c r="I360" s="27" t="n">
        <x:f>IF(OR(E360="",E360&lt;=0),"n.a.",J360/E360)</x:f>
        <x:v>11.85973368343974</x:v>
      </x:c>
      <x:c r="J360" s="27" t="n">
        <x:v>396.50230882615625</x:v>
      </x:c>
      <x:c r="K360" s="27"/>
      <x:c r="L360" s="27"/>
      <x:c r="M360" s="27" t="n">
        <x:v>2196.6666666666665</x:v>
      </x:c>
      <x:c r="N360" s="27" t="n">
        <x:v>2200.1666666666665</x:v>
      </x:c>
      <x:c r="O360" s="27" t="n">
        <x:v>0</x:v>
      </x:c>
      <x:c r="P360" s="27" t="n">
        <x:v>19.9999999999923</x:v>
      </x:c>
      <x:c r="Q360" s="1" t="str">
        <x:v>EXCAVATION</x:v>
      </x:c>
      <x:c r="R360" s="1" t="str">
        <x:v>CYR_STOPE_ACCESS_SCENARIO</x:v>
      </x:c>
    </x:row>
    <x:row r="361" ht="22" customHeight="1">
      <x:c r="A361" s="1" t="str">
        <x:v>RIN-A-C10</x:v>
      </x:c>
      <x:c r="B361" s="1" t="str">
        <x:v>CYR_OVERHAND</x:v>
      </x:c>
      <x:c r="C361" s="1" t="str">
        <x:v>TJ-A_SHARED</x:v>
      </x:c>
      <x:c r="D361" s="1" t="str">
        <x:v>10</x:v>
      </x:c>
      <x:c r="E361" s="27" t="n">
        <x:v>163.2403390949987</x:v>
      </x:c>
      <x:c r="F361" s="27" t="n">
        <x:v>4.5</x:v>
      </x:c>
      <x:c r="G361" s="27" t="n">
        <x:v>4.5</x:v>
      </x:c>
      <x:c r="H361" s="27" t="n">
        <x:v>18.801437602932776</x:v>
      </x:c>
      <x:c r="I361" s="27" t="n">
        <x:f>IF(OR(E361="",E361&lt;=0),"n.a.",J361/E361)</x:f>
        <x:v>18.711014835650168</x:v>
      </x:c>
      <x:c r="J361" s="27" t="n">
        <x:v>3054.3924065830847</x:v>
      </x:c>
      <x:c r="K361" s="27"/>
      <x:c r="L361" s="27"/>
      <x:c r="M361" s="27" t="n">
        <x:v>2190</x:v>
      </x:c>
      <x:c r="N361" s="27" t="n">
        <x:v>2204.5</x:v>
      </x:c>
      <x:c r="O361" s="27" t="n">
        <x:v>6.137463682498754</x:v>
      </x:c>
      <x:c r="P361" s="27" t="n">
        <x:v>19.999999999994323</x:v>
      </x:c>
      <x:c r="Q361" s="1" t="str">
        <x:v>EXCAVATION</x:v>
      </x:c>
      <x:c r="R361" s="1" t="str">
        <x:v>CYR_RAMP_IN_SCENARIO</x:v>
      </x:c>
    </x:row>
    <x:row r="362" ht="22" customHeight="1">
      <x:c r="A362" s="1" t="str">
        <x:v>DIST-A-C10</x:v>
      </x:c>
      <x:c r="B362" s="1" t="str">
        <x:v>CYR_OVERHAND</x:v>
      </x:c>
      <x:c r="C362" s="1" t="str">
        <x:v>TJ-A_SHARED</x:v>
      </x:c>
      <x:c r="D362" s="1" t="str">
        <x:v>10</x:v>
      </x:c>
      <x:c r="E362" s="27" t="n">
        <x:v>140</x:v>
      </x:c>
      <x:c r="F362" s="27" t="n">
        <x:v>3.5</x:v>
      </x:c>
      <x:c r="G362" s="27" t="n">
        <x:v>3.5</x:v>
      </x:c>
      <x:c r="H362" s="27" t="n">
        <x:v>11.874446785945535</x:v>
      </x:c>
      <x:c r="I362" s="27" t="n">
        <x:f>IF(OR(E362="",E362&lt;=0),"n.a.",J362/E362)</x:f>
        <x:v>11.865632254112695</x:v>
      </x:c>
      <x:c r="J362" s="27" t="n">
        <x:v>1661.1885155757773</x:v>
      </x:c>
      <x:c r="K362" s="27"/>
      <x:c r="L362" s="27"/>
      <x:c r="M362" s="27" t="n">
        <x:v>2200</x:v>
      </x:c>
      <x:c r="N362" s="27" t="n">
        <x:v>2203.5</x:v>
      </x:c>
      <x:c r="O362" s="27" t="n">
        <x:v>0</x:v>
      </x:c>
      <x:c r="P362" s="27"/>
      <x:c r="Q362" s="1" t="str">
        <x:v>EXCAVATION</x:v>
      </x:c>
      <x:c r="R362" s="1" t="str">
        <x:v>CYR_DISTRIBUTION_DRIFT_SCENARIO</x:v>
      </x:c>
    </x:row>
    <x:row r="363" ht="22" customHeight="1">
      <x:c r="A363" s="1" t="str">
        <x:v>CX-RIN-TJ-A1-C10</x:v>
      </x:c>
      <x:c r="B363" s="1" t="str">
        <x:v>CYR_OVERHAND</x:v>
      </x:c>
      <x:c r="C363" s="1" t="str">
        <x:v>TJ-A1</x:v>
      </x:c>
      <x:c r="D363" s="1" t="str">
        <x:v>10</x:v>
      </x:c>
      <x:c r="E363" s="27" t="n">
        <x:v>33.43264860827436</x:v>
      </x:c>
      <x:c r="F363" s="27" t="n">
        <x:v>3.5</x:v>
      </x:c>
      <x:c r="G363" s="27" t="n">
        <x:v>3.5</x:v>
      </x:c>
      <x:c r="H363" s="27" t="n">
        <x:v>11.874446785945535</x:v>
      </x:c>
      <x:c r="I363" s="27" t="n">
        <x:f>IF(OR(E363="",E363&lt;=0),"n.a.",J363/E363)</x:f>
        <x:v>11.859733683440902</x:v>
      </x:c>
      <x:c r="J363" s="27" t="n">
        <x:v>396.5023088261951</x:v>
      </x:c>
      <x:c r="K363" s="27"/>
      <x:c r="L363" s="27"/>
      <x:c r="M363" s="27" t="n">
        <x:v>2200</x:v>
      </x:c>
      <x:c r="N363" s="27" t="n">
        <x:v>2203.5</x:v>
      </x:c>
      <x:c r="O363" s="27" t="n">
        <x:v>0</x:v>
      </x:c>
      <x:c r="P363" s="27" t="n">
        <x:v>19.9999999999923</x:v>
      </x:c>
      <x:c r="Q363" s="1" t="str">
        <x:v>EXCAVATION</x:v>
      </x:c>
      <x:c r="R363" s="1" t="str">
        <x:v>CYR_STOPE_ACCESS_SCENARIO</x:v>
      </x:c>
    </x:row>
    <x:row r="364" ht="22" customHeight="1">
      <x:c r="A364" s="1" t="str">
        <x:v>CX-RIN-TJ-A2-C10</x:v>
      </x:c>
      <x:c r="B364" s="1" t="str">
        <x:v>CYR_OVERHAND</x:v>
      </x:c>
      <x:c r="C364" s="1" t="str">
        <x:v>TJ-A2</x:v>
      </x:c>
      <x:c r="D364" s="1" t="str">
        <x:v>10</x:v>
      </x:c>
      <x:c r="E364" s="27" t="n">
        <x:v>33.43264860827436</x:v>
      </x:c>
      <x:c r="F364" s="27" t="n">
        <x:v>3.5</x:v>
      </x:c>
      <x:c r="G364" s="27" t="n">
        <x:v>3.5</x:v>
      </x:c>
      <x:c r="H364" s="27" t="n">
        <x:v>11.874446785945535</x:v>
      </x:c>
      <x:c r="I364" s="27" t="n">
        <x:f>IF(OR(E364="",E364&lt;=0),"n.a.",J364/E364)</x:f>
        <x:v>11.859733683440611</x:v>
      </x:c>
      <x:c r="J364" s="27" t="n">
        <x:v>396.50230882618536</x:v>
      </x:c>
      <x:c r="K364" s="27"/>
      <x:c r="L364" s="27"/>
      <x:c r="M364" s="27" t="n">
        <x:v>2200</x:v>
      </x:c>
      <x:c r="N364" s="27" t="n">
        <x:v>2203.5</x:v>
      </x:c>
      <x:c r="O364" s="27" t="n">
        <x:v>0</x:v>
      </x:c>
      <x:c r="P364" s="27" t="n">
        <x:v>19.9999999999923</x:v>
      </x:c>
      <x:c r="Q364" s="1" t="str">
        <x:v>EXCAVATION</x:v>
      </x:c>
      <x:c r="R364" s="1" t="str">
        <x:v>CYR_STOPE_ACCESS_SCENARIO</x:v>
      </x:c>
    </x:row>
    <x:row r="365" ht="22" customHeight="1">
      <x:c r="A365" s="1" t="str">
        <x:v>CX-RIN-TJ-A3-C10</x:v>
      </x:c>
      <x:c r="B365" s="1" t="str">
        <x:v>CYR_OVERHAND</x:v>
      </x:c>
      <x:c r="C365" s="1" t="str">
        <x:v>TJ-A3</x:v>
      </x:c>
      <x:c r="D365" s="1" t="str">
        <x:v>10</x:v>
      </x:c>
      <x:c r="E365" s="27" t="n">
        <x:v>33.43264860827436</x:v>
      </x:c>
      <x:c r="F365" s="27" t="n">
        <x:v>3.5</x:v>
      </x:c>
      <x:c r="G365" s="27" t="n">
        <x:v>3.5</x:v>
      </x:c>
      <x:c r="H365" s="27" t="n">
        <x:v>11.874446785945535</x:v>
      </x:c>
      <x:c r="I365" s="27" t="n">
        <x:f>IF(OR(E365="",E365&lt;=0),"n.a.",J365/E365)</x:f>
        <x:v>11.859733683440611</x:v>
      </x:c>
      <x:c r="J365" s="27" t="n">
        <x:v>396.50230882618536</x:v>
      </x:c>
      <x:c r="K365" s="27"/>
      <x:c r="L365" s="27"/>
      <x:c r="M365" s="27" t="n">
        <x:v>2200</x:v>
      </x:c>
      <x:c r="N365" s="27" t="n">
        <x:v>2203.5</x:v>
      </x:c>
      <x:c r="O365" s="27" t="n">
        <x:v>0</x:v>
      </x:c>
      <x:c r="P365" s="27" t="n">
        <x:v>19.9999999999923</x:v>
      </x:c>
      <x:c r="Q365" s="1" t="str">
        <x:v>EXCAVATION</x:v>
      </x:c>
      <x:c r="R365" s="1" t="str">
        <x:v>CYR_STOPE_ACCESS_SCENARIO</x:v>
      </x:c>
    </x:row>
    <x:row r="366" ht="22" customHeight="1">
      <x:c r="A366" s="1" t="str">
        <x:v>CX-RIN-TJ-A4-C10</x:v>
      </x:c>
      <x:c r="B366" s="1" t="str">
        <x:v>CYR_OVERHAND</x:v>
      </x:c>
      <x:c r="C366" s="1" t="str">
        <x:v>TJ-A4</x:v>
      </x:c>
      <x:c r="D366" s="1" t="str">
        <x:v>10</x:v>
      </x:c>
      <x:c r="E366" s="27" t="n">
        <x:v>33.43264860827436</x:v>
      </x:c>
      <x:c r="F366" s="27" t="n">
        <x:v>3.5</x:v>
      </x:c>
      <x:c r="G366" s="27" t="n">
        <x:v>3.5</x:v>
      </x:c>
      <x:c r="H366" s="27" t="n">
        <x:v>11.874446785945535</x:v>
      </x:c>
      <x:c r="I366" s="27" t="n">
        <x:f>IF(OR(E366="",E366&lt;=0),"n.a.",J366/E366)</x:f>
        <x:v>11.85973368343974</x:v>
      </x:c>
      <x:c r="J366" s="27" t="n">
        <x:v>396.50230882615625</x:v>
      </x:c>
      <x:c r="K366" s="27"/>
      <x:c r="L366" s="27"/>
      <x:c r="M366" s="27" t="n">
        <x:v>2200</x:v>
      </x:c>
      <x:c r="N366" s="27" t="n">
        <x:v>2203.5</x:v>
      </x:c>
      <x:c r="O366" s="27" t="n">
        <x:v>0</x:v>
      </x:c>
      <x:c r="P366" s="27" t="n">
        <x:v>19.9999999999923</x:v>
      </x:c>
      <x:c r="Q366" s="1" t="str">
        <x:v>EXCAVATION</x:v>
      </x:c>
      <x:c r="R366" s="1" t="str">
        <x:v>CYR_STOPE_ACCESS_SCENARIO</x:v>
      </x:c>
    </x:row>
    <x:row r="367" ht="22" customHeight="1">
      <x:c r="A367" s="1" t="str">
        <x:v>RIN-A-C11</x:v>
      </x:c>
      <x:c r="B367" s="1" t="str">
        <x:v>CYR_OVERHAND</x:v>
      </x:c>
      <x:c r="C367" s="1" t="str">
        <x:v>TJ-A_SHARED</x:v>
      </x:c>
      <x:c r="D367" s="1" t="str">
        <x:v>11</x:v>
      </x:c>
      <x:c r="E367" s="27" t="n">
        <x:v>162.588224383526</x:v>
      </x:c>
      <x:c r="F367" s="27" t="n">
        <x:v>4.5</x:v>
      </x:c>
      <x:c r="G367" s="27" t="n">
        <x:v>4.5</x:v>
      </x:c>
      <x:c r="H367" s="27" t="n">
        <x:v>18.801437602932776</x:v>
      </x:c>
      <x:c r="I367" s="27" t="n">
        <x:f>IF(OR(E367="",E367&lt;=0),"n.a.",J367/E367)</x:f>
        <x:v>18.681547004561196</x:v>
      </x:c>
      <x:c r="J367" s="27" t="n">
        <x:v>3037.399556208984</x:v>
      </x:c>
      <x:c r="K367" s="27"/>
      <x:c r="L367" s="27"/>
      <x:c r="M367" s="27" t="n">
        <x:v>2190</x:v>
      </x:c>
      <x:c r="N367" s="27" t="n">
        <x:v>2207.8333333333335</x:v>
      </x:c>
      <x:c r="O367" s="27" t="n">
        <x:v>8.228390986567126</x:v>
      </x:c>
      <x:c r="P367" s="27" t="n">
        <x:v>19.999999999994323</x:v>
      </x:c>
      <x:c r="Q367" s="1" t="str">
        <x:v>EXCAVATION</x:v>
      </x:c>
      <x:c r="R367" s="1" t="str">
        <x:v>CYR_RAMP_IN_SCENARIO</x:v>
      </x:c>
    </x:row>
    <x:row r="368" ht="22" customHeight="1">
      <x:c r="A368" s="1" t="str">
        <x:v>DIST-A-C11</x:v>
      </x:c>
      <x:c r="B368" s="1" t="str">
        <x:v>CYR_OVERHAND</x:v>
      </x:c>
      <x:c r="C368" s="1" t="str">
        <x:v>TJ-A_SHARED</x:v>
      </x:c>
      <x:c r="D368" s="1" t="str">
        <x:v>11</x:v>
      </x:c>
      <x:c r="E368" s="27" t="n">
        <x:v>140</x:v>
      </x:c>
      <x:c r="F368" s="27" t="n">
        <x:v>3.5</x:v>
      </x:c>
      <x:c r="G368" s="27" t="n">
        <x:v>3.5</x:v>
      </x:c>
      <x:c r="H368" s="27" t="n">
        <x:v>11.874446785945535</x:v>
      </x:c>
      <x:c r="I368" s="27" t="n">
        <x:f>IF(OR(E368="",E368&lt;=0),"n.a.",J368/E368)</x:f>
        <x:v>11.865632254112764</x:v>
      </x:c>
      <x:c r="J368" s="27" t="n">
        <x:v>1661.188515575787</x:v>
      </x:c>
      <x:c r="K368" s="27"/>
      <x:c r="L368" s="27"/>
      <x:c r="M368" s="27" t="n">
        <x:v>2203.3333333333335</x:v>
      </x:c>
      <x:c r="N368" s="27" t="n">
        <x:v>2206.8333333333335</x:v>
      </x:c>
      <x:c r="O368" s="27" t="n">
        <x:v>0</x:v>
      </x:c>
      <x:c r="P368" s="27"/>
      <x:c r="Q368" s="1" t="str">
        <x:v>EXCAVATION</x:v>
      </x:c>
      <x:c r="R368" s="1" t="str">
        <x:v>CYR_DISTRIBUTION_DRIFT_SCENARIO</x:v>
      </x:c>
    </x:row>
    <x:row r="369" ht="22" customHeight="1">
      <x:c r="A369" s="1" t="str">
        <x:v>CX-RIN-TJ-A1-C11</x:v>
      </x:c>
      <x:c r="B369" s="1" t="str">
        <x:v>CYR_OVERHAND</x:v>
      </x:c>
      <x:c r="C369" s="1" t="str">
        <x:v>TJ-A1</x:v>
      </x:c>
      <x:c r="D369" s="1" t="str">
        <x:v>11</x:v>
      </x:c>
      <x:c r="E369" s="27" t="n">
        <x:v>33.432648608274356</x:v>
      </x:c>
      <x:c r="F369" s="27" t="n">
        <x:v>3.5</x:v>
      </x:c>
      <x:c r="G369" s="27" t="n">
        <x:v>3.5</x:v>
      </x:c>
      <x:c r="H369" s="27" t="n">
        <x:v>11.874446785945535</x:v>
      </x:c>
      <x:c r="I369" s="27" t="n">
        <x:f>IF(OR(E369="",E369&lt;=0),"n.a.",J369/E369)</x:f>
        <x:v>11.859733683439744</x:v>
      </x:c>
      <x:c r="J369" s="27" t="n">
        <x:v>396.50230882615625</x:v>
      </x:c>
      <x:c r="K369" s="27"/>
      <x:c r="L369" s="27"/>
      <x:c r="M369" s="27" t="n">
        <x:v>2203.3333333333335</x:v>
      </x:c>
      <x:c r="N369" s="27" t="n">
        <x:v>2206.8333333333335</x:v>
      </x:c>
      <x:c r="O369" s="27" t="n">
        <x:v>0</x:v>
      </x:c>
      <x:c r="P369" s="27" t="n">
        <x:v>19.9999999999923</x:v>
      </x:c>
      <x:c r="Q369" s="1" t="str">
        <x:v>EXCAVATION</x:v>
      </x:c>
      <x:c r="R369" s="1" t="str">
        <x:v>CYR_STOPE_ACCESS_SCENARIO</x:v>
      </x:c>
    </x:row>
    <x:row r="370" ht="22" customHeight="1">
      <x:c r="A370" s="1" t="str">
        <x:v>CX-RIN-TJ-A2-C11</x:v>
      </x:c>
      <x:c r="B370" s="1" t="str">
        <x:v>CYR_OVERHAND</x:v>
      </x:c>
      <x:c r="C370" s="1" t="str">
        <x:v>TJ-A2</x:v>
      </x:c>
      <x:c r="D370" s="1" t="str">
        <x:v>11</x:v>
      </x:c>
      <x:c r="E370" s="27" t="n">
        <x:v>33.432648608274356</x:v>
      </x:c>
      <x:c r="F370" s="27" t="n">
        <x:v>3.5</x:v>
      </x:c>
      <x:c r="G370" s="27" t="n">
        <x:v>3.5</x:v>
      </x:c>
      <x:c r="H370" s="27" t="n">
        <x:v>11.874446785945535</x:v>
      </x:c>
      <x:c r="I370" s="27" t="n">
        <x:f>IF(OR(E370="",E370&lt;=0),"n.a.",J370/E370)</x:f>
        <x:v>11.859733683440615</x:v>
      </x:c>
      <x:c r="J370" s="27" t="n">
        <x:v>396.50230882618536</x:v>
      </x:c>
      <x:c r="K370" s="27"/>
      <x:c r="L370" s="27"/>
      <x:c r="M370" s="27" t="n">
        <x:v>2203.3333333333335</x:v>
      </x:c>
      <x:c r="N370" s="27" t="n">
        <x:v>2206.8333333333335</x:v>
      </x:c>
      <x:c r="O370" s="27" t="n">
        <x:v>0</x:v>
      </x:c>
      <x:c r="P370" s="27" t="n">
        <x:v>19.9999999999923</x:v>
      </x:c>
      <x:c r="Q370" s="1" t="str">
        <x:v>EXCAVATION</x:v>
      </x:c>
      <x:c r="R370" s="1" t="str">
        <x:v>CYR_STOPE_ACCESS_SCENARIO</x:v>
      </x:c>
    </x:row>
    <x:row r="371" ht="22" customHeight="1">
      <x:c r="A371" s="1" t="str">
        <x:v>CX-RIN-TJ-A3-C11</x:v>
      </x:c>
      <x:c r="B371" s="1" t="str">
        <x:v>CYR_OVERHAND</x:v>
      </x:c>
      <x:c r="C371" s="1" t="str">
        <x:v>TJ-A3</x:v>
      </x:c>
      <x:c r="D371" s="1" t="str">
        <x:v>11</x:v>
      </x:c>
      <x:c r="E371" s="27" t="n">
        <x:v>33.432648608274356</x:v>
      </x:c>
      <x:c r="F371" s="27" t="n">
        <x:v>3.5</x:v>
      </x:c>
      <x:c r="G371" s="27" t="n">
        <x:v>3.5</x:v>
      </x:c>
      <x:c r="H371" s="27" t="n">
        <x:v>11.874446785945535</x:v>
      </x:c>
      <x:c r="I371" s="27" t="n">
        <x:f>IF(OR(E371="",E371&lt;=0),"n.a.",J371/E371)</x:f>
        <x:v>11.859733683440615</x:v>
      </x:c>
      <x:c r="J371" s="27" t="n">
        <x:v>396.50230882618536</x:v>
      </x:c>
      <x:c r="K371" s="27"/>
      <x:c r="L371" s="27"/>
      <x:c r="M371" s="27" t="n">
        <x:v>2203.3333333333335</x:v>
      </x:c>
      <x:c r="N371" s="27" t="n">
        <x:v>2206.8333333333335</x:v>
      </x:c>
      <x:c r="O371" s="27" t="n">
        <x:v>0</x:v>
      </x:c>
      <x:c r="P371" s="27" t="n">
        <x:v>19.9999999999923</x:v>
      </x:c>
      <x:c r="Q371" s="1" t="str">
        <x:v>EXCAVATION</x:v>
      </x:c>
      <x:c r="R371" s="1" t="str">
        <x:v>CYR_STOPE_ACCESS_SCENARIO</x:v>
      </x:c>
    </x:row>
    <x:row r="372" ht="22" customHeight="1">
      <x:c r="A372" s="1" t="str">
        <x:v>CX-RIN-TJ-A4-C11</x:v>
      </x:c>
      <x:c r="B372" s="1" t="str">
        <x:v>CYR_OVERHAND</x:v>
      </x:c>
      <x:c r="C372" s="1" t="str">
        <x:v>TJ-A4</x:v>
      </x:c>
      <x:c r="D372" s="1" t="str">
        <x:v>11</x:v>
      </x:c>
      <x:c r="E372" s="27" t="n">
        <x:v>33.432648608274356</x:v>
      </x:c>
      <x:c r="F372" s="27" t="n">
        <x:v>3.5</x:v>
      </x:c>
      <x:c r="G372" s="27" t="n">
        <x:v>3.5</x:v>
      </x:c>
      <x:c r="H372" s="27" t="n">
        <x:v>11.874446785945535</x:v>
      </x:c>
      <x:c r="I372" s="27" t="n">
        <x:f>IF(OR(E372="",E372&lt;=0),"n.a.",J372/E372)</x:f>
        <x:v>11.859733683439744</x:v>
      </x:c>
      <x:c r="J372" s="27" t="n">
        <x:v>396.50230882615625</x:v>
      </x:c>
      <x:c r="K372" s="27"/>
      <x:c r="L372" s="27"/>
      <x:c r="M372" s="27" t="n">
        <x:v>2203.3333333333335</x:v>
      </x:c>
      <x:c r="N372" s="27" t="n">
        <x:v>2206.8333333333335</x:v>
      </x:c>
      <x:c r="O372" s="27" t="n">
        <x:v>0</x:v>
      </x:c>
      <x:c r="P372" s="27" t="n">
        <x:v>19.9999999999923</x:v>
      </x:c>
      <x:c r="Q372" s="1" t="str">
        <x:v>EXCAVATION</x:v>
      </x:c>
      <x:c r="R372" s="1" t="str">
        <x:v>CYR_STOPE_ACCESS_SCENARIO</x:v>
      </x:c>
    </x:row>
    <x:row r="373" ht="22" customHeight="1">
      <x:c r="A373" s="1" t="str">
        <x:v>RIN-A-C12</x:v>
      </x:c>
      <x:c r="B373" s="1" t="str">
        <x:v>CYR_OVERHAND</x:v>
      </x:c>
      <x:c r="C373" s="1" t="str">
        <x:v>TJ-A_SHARED</x:v>
      </x:c>
      <x:c r="D373" s="1" t="str">
        <x:v>12</x:v>
      </x:c>
      <x:c r="E373" s="27" t="n">
        <x:v>162.00700853518453</x:v>
      </x:c>
      <x:c r="F373" s="27" t="n">
        <x:v>4.5</x:v>
      </x:c>
      <x:c r="G373" s="27" t="n">
        <x:v>4.5</x:v>
      </x:c>
      <x:c r="H373" s="27" t="n">
        <x:v>18.801437602932776</x:v>
      </x:c>
      <x:c r="I373" s="27" t="n">
        <x:f>IF(OR(E373="",E373&lt;=0),"n.a.",J373/E373)</x:f>
        <x:v>18.64362110849859</x:v>
      </x:c>
      <x:c r="J373" s="27" t="n">
        <x:v>3020.3972840512774</x:v>
      </x:c>
      <x:c r="K373" s="27"/>
      <x:c r="L373" s="27"/>
      <x:c r="M373" s="27" t="n">
        <x:v>2190</x:v>
      </x:c>
      <x:c r="N373" s="27" t="n">
        <x:v>2211.1666666666665</x:v>
      </x:c>
      <x:c r="O373" s="27" t="n">
        <x:v>10.342496333046405</x:v>
      </x:c>
      <x:c r="P373" s="27" t="n">
        <x:v>19.999999999994323</x:v>
      </x:c>
      <x:c r="Q373" s="1" t="str">
        <x:v>EXCAVATION</x:v>
      </x:c>
      <x:c r="R373" s="1" t="str">
        <x:v>CYR_RAMP_IN_SCENARIO</x:v>
      </x:c>
    </x:row>
    <x:row r="374" ht="22" customHeight="1">
      <x:c r="A374" s="1" t="str">
        <x:v>DIST-A-C12</x:v>
      </x:c>
      <x:c r="B374" s="1" t="str">
        <x:v>CYR_OVERHAND</x:v>
      </x:c>
      <x:c r="C374" s="1" t="str">
        <x:v>TJ-A_SHARED</x:v>
      </x:c>
      <x:c r="D374" s="1" t="str">
        <x:v>12</x:v>
      </x:c>
      <x:c r="E374" s="27" t="n">
        <x:v>140</x:v>
      </x:c>
      <x:c r="F374" s="27" t="n">
        <x:v>3.5</x:v>
      </x:c>
      <x:c r="G374" s="27" t="n">
        <x:v>3.5</x:v>
      </x:c>
      <x:c r="H374" s="27" t="n">
        <x:v>11.874446785945535</x:v>
      </x:c>
      <x:c r="I374" s="27" t="n">
        <x:f>IF(OR(E374="",E374&lt;=0),"n.a.",J374/E374)</x:f>
        <x:v>11.865632254112557</x:v>
      </x:c>
      <x:c r="J374" s="27" t="n">
        <x:v>1661.188515575758</x:v>
      </x:c>
      <x:c r="K374" s="27"/>
      <x:c r="L374" s="27"/>
      <x:c r="M374" s="27" t="n">
        <x:v>2206.6666666666665</x:v>
      </x:c>
      <x:c r="N374" s="27" t="n">
        <x:v>2210.1666666666665</x:v>
      </x:c>
      <x:c r="O374" s="27" t="n">
        <x:v>0</x:v>
      </x:c>
      <x:c r="P374" s="27"/>
      <x:c r="Q374" s="1" t="str">
        <x:v>EXCAVATION</x:v>
      </x:c>
      <x:c r="R374" s="1" t="str">
        <x:v>CYR_DISTRIBUTION_DRIFT_SCENARIO</x:v>
      </x:c>
    </x:row>
    <x:row r="375" ht="22" customHeight="1">
      <x:c r="A375" s="1" t="str">
        <x:v>CX-RIN-TJ-A1-C12</x:v>
      </x:c>
      <x:c r="B375" s="1" t="str">
        <x:v>CYR_OVERHAND</x:v>
      </x:c>
      <x:c r="C375" s="1" t="str">
        <x:v>TJ-A1</x:v>
      </x:c>
      <x:c r="D375" s="1" t="str">
        <x:v>12</x:v>
      </x:c>
      <x:c r="E375" s="27" t="n">
        <x:v>33.43264860827436</x:v>
      </x:c>
      <x:c r="F375" s="27" t="n">
        <x:v>3.5</x:v>
      </x:c>
      <x:c r="G375" s="27" t="n">
        <x:v>3.5</x:v>
      </x:c>
      <x:c r="H375" s="27" t="n">
        <x:v>11.874446785945535</x:v>
      </x:c>
      <x:c r="I375" s="27" t="n">
        <x:f>IF(OR(E375="",E375&lt;=0),"n.a.",J375/E375)</x:f>
        <x:v>11.85973368343974</x:v>
      </x:c>
      <x:c r="J375" s="27" t="n">
        <x:v>396.50230882615625</x:v>
      </x:c>
      <x:c r="K375" s="27"/>
      <x:c r="L375" s="27"/>
      <x:c r="M375" s="27" t="n">
        <x:v>2206.6666666666665</x:v>
      </x:c>
      <x:c r="N375" s="27" t="n">
        <x:v>2210.1666666666665</x:v>
      </x:c>
      <x:c r="O375" s="27" t="n">
        <x:v>0</x:v>
      </x:c>
      <x:c r="P375" s="27" t="n">
        <x:v>19.9999999999923</x:v>
      </x:c>
      <x:c r="Q375" s="1" t="str">
        <x:v>EXCAVATION</x:v>
      </x:c>
      <x:c r="R375" s="1" t="str">
        <x:v>CYR_STOPE_ACCESS_SCENARIO</x:v>
      </x:c>
    </x:row>
    <x:row r="376" ht="22" customHeight="1">
      <x:c r="A376" s="1" t="str">
        <x:v>CX-RIN-TJ-A2-C12</x:v>
      </x:c>
      <x:c r="B376" s="1" t="str">
        <x:v>CYR_OVERHAND</x:v>
      </x:c>
      <x:c r="C376" s="1" t="str">
        <x:v>TJ-A2</x:v>
      </x:c>
      <x:c r="D376" s="1" t="str">
        <x:v>12</x:v>
      </x:c>
      <x:c r="E376" s="27" t="n">
        <x:v>33.43264860827436</x:v>
      </x:c>
      <x:c r="F376" s="27" t="n">
        <x:v>3.5</x:v>
      </x:c>
      <x:c r="G376" s="27" t="n">
        <x:v>3.5</x:v>
      </x:c>
      <x:c r="H376" s="27" t="n">
        <x:v>11.874446785945535</x:v>
      </x:c>
      <x:c r="I376" s="27" t="n">
        <x:f>IF(OR(E376="",E376&lt;=0),"n.a.",J376/E376)</x:f>
        <x:v>11.85973368343974</x:v>
      </x:c>
      <x:c r="J376" s="27" t="n">
        <x:v>396.50230882615625</x:v>
      </x:c>
      <x:c r="K376" s="27"/>
      <x:c r="L376" s="27"/>
      <x:c r="M376" s="27" t="n">
        <x:v>2206.6666666666665</x:v>
      </x:c>
      <x:c r="N376" s="27" t="n">
        <x:v>2210.1666666666665</x:v>
      </x:c>
      <x:c r="O376" s="27" t="n">
        <x:v>0</x:v>
      </x:c>
      <x:c r="P376" s="27" t="n">
        <x:v>19.9999999999923</x:v>
      </x:c>
      <x:c r="Q376" s="1" t="str">
        <x:v>EXCAVATION</x:v>
      </x:c>
      <x:c r="R376" s="1" t="str">
        <x:v>CYR_STOPE_ACCESS_SCENARIO</x:v>
      </x:c>
    </x:row>
    <x:row r="377" ht="22" customHeight="1">
      <x:c r="A377" s="1" t="str">
        <x:v>CX-RIN-TJ-A3-C12</x:v>
      </x:c>
      <x:c r="B377" s="1" t="str">
        <x:v>CYR_OVERHAND</x:v>
      </x:c>
      <x:c r="C377" s="1" t="str">
        <x:v>TJ-A3</x:v>
      </x:c>
      <x:c r="D377" s="1" t="str">
        <x:v>12</x:v>
      </x:c>
      <x:c r="E377" s="27" t="n">
        <x:v>33.43264860827436</x:v>
      </x:c>
      <x:c r="F377" s="27" t="n">
        <x:v>3.5</x:v>
      </x:c>
      <x:c r="G377" s="27" t="n">
        <x:v>3.5</x:v>
      </x:c>
      <x:c r="H377" s="27" t="n">
        <x:v>11.874446785945535</x:v>
      </x:c>
      <x:c r="I377" s="27" t="n">
        <x:f>IF(OR(E377="",E377&lt;=0),"n.a.",J377/E377)</x:f>
        <x:v>11.859733683440032</x:v>
      </x:c>
      <x:c r="J377" s="27" t="n">
        <x:v>396.502308826166</x:v>
      </x:c>
      <x:c r="K377" s="27"/>
      <x:c r="L377" s="27"/>
      <x:c r="M377" s="27" t="n">
        <x:v>2206.6666666666665</x:v>
      </x:c>
      <x:c r="N377" s="27" t="n">
        <x:v>2210.1666666666665</x:v>
      </x:c>
      <x:c r="O377" s="27" t="n">
        <x:v>0</x:v>
      </x:c>
      <x:c r="P377" s="27" t="n">
        <x:v>19.9999999999923</x:v>
      </x:c>
      <x:c r="Q377" s="1" t="str">
        <x:v>EXCAVATION</x:v>
      </x:c>
      <x:c r="R377" s="1" t="str">
        <x:v>CYR_STOPE_ACCESS_SCENARIO</x:v>
      </x:c>
    </x:row>
    <x:row r="378" ht="22" customHeight="1">
      <x:c r="A378" s="1" t="str">
        <x:v>CX-RIN-TJ-A4-C12</x:v>
      </x:c>
      <x:c r="B378" s="1" t="str">
        <x:v>CYR_OVERHAND</x:v>
      </x:c>
      <x:c r="C378" s="1" t="str">
        <x:v>TJ-A4</x:v>
      </x:c>
      <x:c r="D378" s="1" t="str">
        <x:v>12</x:v>
      </x:c>
      <x:c r="E378" s="27" t="n">
        <x:v>33.43264860827436</x:v>
      </x:c>
      <x:c r="F378" s="27" t="n">
        <x:v>3.5</x:v>
      </x:c>
      <x:c r="G378" s="27" t="n">
        <x:v>3.5</x:v>
      </x:c>
      <x:c r="H378" s="27" t="n">
        <x:v>11.874446785945535</x:v>
      </x:c>
      <x:c r="I378" s="27" t="n">
        <x:f>IF(OR(E378="",E378&lt;=0),"n.a.",J378/E378)</x:f>
        <x:v>11.85973368343974</x:v>
      </x:c>
      <x:c r="J378" s="27" t="n">
        <x:v>396.50230882615625</x:v>
      </x:c>
      <x:c r="K378" s="27"/>
      <x:c r="L378" s="27"/>
      <x:c r="M378" s="27" t="n">
        <x:v>2206.6666666666665</x:v>
      </x:c>
      <x:c r="N378" s="27" t="n">
        <x:v>2210.1666666666665</x:v>
      </x:c>
      <x:c r="O378" s="27" t="n">
        <x:v>0</x:v>
      </x:c>
      <x:c r="P378" s="27" t="n">
        <x:v>19.9999999999923</x:v>
      </x:c>
      <x:c r="Q378" s="1" t="str">
        <x:v>EXCAVATION</x:v>
      </x:c>
      <x:c r="R378" s="1" t="str">
        <x:v>CYR_STOPE_ACCESS_SCENARIO</x:v>
      </x:c>
    </x:row>
    <x:row r="379" ht="22" customHeight="1">
      <x:c r="A379" s="1" t="str">
        <x:v>RIN-C-C01</x:v>
      </x:c>
      <x:c r="B379" s="1" t="str">
        <x:v>CYR_OVERHAND</x:v>
      </x:c>
      <x:c r="C379" s="1" t="str">
        <x:v>TJ-C1</x:v>
      </x:c>
      <x:c r="D379" s="1" t="str">
        <x:v>1</x:v>
      </x:c>
      <x:c r="E379" s="27" t="n">
        <x:v>215.61324627819013</x:v>
      </x:c>
      <x:c r="F379" s="27" t="n">
        <x:v>4.5</x:v>
      </x:c>
      <x:c r="G379" s="27" t="n">
        <x:v>4.5</x:v>
      </x:c>
      <x:c r="H379" s="27" t="n">
        <x:v>18.801437602932776</x:v>
      </x:c>
      <x:c r="I379" s="27" t="n">
        <x:f>IF(OR(E379="",E379&lt;=0),"n.a.",J379/E379)</x:f>
        <x:v>18.754574360368498</x:v>
      </x:c>
      <x:c r="J379" s="27" t="n">
        <x:v>4043.7346604047634</x:v>
      </x:c>
      <x:c r="K379" s="27"/>
      <x:c r="L379" s="27"/>
      <x:c r="M379" s="27" t="n">
        <x:v>2130</x:v>
      </x:c>
      <x:c r="N379" s="27" t="n">
        <x:v>2134.5</x:v>
      </x:c>
      <x:c r="O379" s="27" t="n">
        <x:v>0</x:v>
      </x:c>
      <x:c r="P379" s="27" t="n">
        <x:v>19.999999999992706</x:v>
      </x:c>
      <x:c r="Q379" s="1" t="str">
        <x:v>EXCAVATION</x:v>
      </x:c>
      <x:c r="R379" s="1" t="str">
        <x:v>CYR_RAMP_IN_SCENARIO</x:v>
      </x:c>
    </x:row>
    <x:row r="380" ht="22" customHeight="1">
      <x:c r="A380" s="1" t="str">
        <x:v>DIST-C-C01</x:v>
      </x:c>
      <x:c r="B380" s="1" t="str">
        <x:v>CYR_OVERHAND</x:v>
      </x:c>
      <x:c r="C380" s="1" t="str">
        <x:v>TJ-C1</x:v>
      </x:c>
      <x:c r="D380" s="1" t="str">
        <x:v>1</x:v>
      </x:c>
      <x:c r="E380" s="27" t="n">
        <x:v>60</x:v>
      </x:c>
      <x:c r="F380" s="27" t="n">
        <x:v>3.5</x:v>
      </x:c>
      <x:c r="G380" s="27" t="n">
        <x:v>3.5</x:v>
      </x:c>
      <x:c r="H380" s="27" t="n">
        <x:v>11.874446785945535</x:v>
      </x:c>
      <x:c r="I380" s="27" t="n">
        <x:f>IF(OR(E380="",E380&lt;=0),"n.a.",J380/E380)</x:f>
        <x:v>11.865632254112764</x:v>
      </x:c>
      <x:c r="J380" s="27" t="n">
        <x:v>711.9379352467658</x:v>
      </x:c>
      <x:c r="K380" s="27"/>
      <x:c r="L380" s="27"/>
      <x:c r="M380" s="27" t="n">
        <x:v>2130</x:v>
      </x:c>
      <x:c r="N380" s="27" t="n">
        <x:v>2133.5</x:v>
      </x:c>
      <x:c r="O380" s="27" t="n">
        <x:v>0</x:v>
      </x:c>
      <x:c r="P380" s="27"/>
      <x:c r="Q380" s="1" t="str">
        <x:v>EXCAVATION</x:v>
      </x:c>
      <x:c r="R380" s="1" t="str">
        <x:v>CYR_DISTRIBUTION_DRIFT_SCENARIO</x:v>
      </x:c>
    </x:row>
    <x:row r="381" ht="22" customHeight="1">
      <x:c r="A381" s="1" t="str">
        <x:v>CX-RIN-TJ-C1-C01</x:v>
      </x:c>
      <x:c r="B381" s="1" t="str">
        <x:v>CYR_OVERHAND</x:v>
      </x:c>
      <x:c r="C381" s="1" t="str">
        <x:v>TJ-C1</x:v>
      </x:c>
      <x:c r="D381" s="1" t="str">
        <x:v>1</x:v>
      </x:c>
      <x:c r="E381" s="27" t="n">
        <x:v>33.432648608274356</x:v>
      </x:c>
      <x:c r="F381" s="27" t="n">
        <x:v>3.5</x:v>
      </x:c>
      <x:c r="G381" s="27" t="n">
        <x:v>3.5</x:v>
      </x:c>
      <x:c r="H381" s="27" t="n">
        <x:v>11.874446785945535</x:v>
      </x:c>
      <x:c r="I381" s="27" t="n">
        <x:f>IF(OR(E381="",E381&lt;=0),"n.a.",J381/E381)</x:f>
        <x:v>11.859733683440615</x:v>
      </x:c>
      <x:c r="J381" s="27" t="n">
        <x:v>396.50230882618536</x:v>
      </x:c>
      <x:c r="K381" s="27"/>
      <x:c r="L381" s="27"/>
      <x:c r="M381" s="27" t="n">
        <x:v>2130</x:v>
      </x:c>
      <x:c r="N381" s="27" t="n">
        <x:v>2133.5</x:v>
      </x:c>
      <x:c r="O381" s="27" t="n">
        <x:v>0</x:v>
      </x:c>
      <x:c r="P381" s="27" t="n">
        <x:v>19.9999999999923</x:v>
      </x:c>
      <x:c r="Q381" s="1" t="str">
        <x:v>EXCAVATION</x:v>
      </x:c>
      <x:c r="R381" s="1" t="str">
        <x:v>CYR_STOPE_ACCESS_SCENARIO</x:v>
      </x:c>
    </x:row>
    <x:row r="382" ht="22" customHeight="1">
      <x:c r="A382" s="1" t="str">
        <x:v>RIN-C-C02</x:v>
      </x:c>
      <x:c r="B382" s="1" t="str">
        <x:v>CYR_OVERHAND</x:v>
      </x:c>
      <x:c r="C382" s="1" t="str">
        <x:v>TJ-C1</x:v>
      </x:c>
      <x:c r="D382" s="1" t="str">
        <x:v>2</x:v>
      </x:c>
      <x:c r="E382" s="27" t="n">
        <x:v>214.74595422381873</x:v>
      </x:c>
      <x:c r="F382" s="27" t="n">
        <x:v>4.5</x:v>
      </x:c>
      <x:c r="G382" s="27" t="n">
        <x:v>4.5</x:v>
      </x:c>
      <x:c r="H382" s="27" t="n">
        <x:v>18.801437602932776</x:v>
      </x:c>
      <x:c r="I382" s="27" t="n">
        <x:f>IF(OR(E382="",E382&lt;=0),"n.a.",J382/E382)</x:f>
        <x:v>18.751458102686364</x:v>
      </x:c>
      <x:c r="J382" s="27" t="n">
        <x:v>4026.799763349341</x:v>
      </x:c>
      <x:c r="K382" s="27"/>
      <x:c r="L382" s="27"/>
      <x:c r="M382" s="27" t="n">
        <x:v>2130</x:v>
      </x:c>
      <x:c r="N382" s="27" t="n">
        <x:v>2137.8333333333335</x:v>
      </x:c>
      <x:c r="O382" s="27" t="n">
        <x:v>1.5524087442475576</x:v>
      </x:c>
      <x:c r="P382" s="27" t="n">
        <x:v>19.999999999992706</x:v>
      </x:c>
      <x:c r="Q382" s="1" t="str">
        <x:v>EXCAVATION</x:v>
      </x:c>
      <x:c r="R382" s="1" t="str">
        <x:v>CYR_RAMP_IN_SCENARIO</x:v>
      </x:c>
    </x:row>
    <x:row r="383" ht="22" customHeight="1">
      <x:c r="A383" s="1" t="str">
        <x:v>DIST-C-C02</x:v>
      </x:c>
      <x:c r="B383" s="1" t="str">
        <x:v>CYR_OVERHAND</x:v>
      </x:c>
      <x:c r="C383" s="1" t="str">
        <x:v>TJ-C1</x:v>
      </x:c>
      <x:c r="D383" s="1" t="str">
        <x:v>2</x:v>
      </x:c>
      <x:c r="E383" s="27" t="n">
        <x:v>60</x:v>
      </x:c>
      <x:c r="F383" s="27" t="n">
        <x:v>3.5</x:v>
      </x:c>
      <x:c r="G383" s="27" t="n">
        <x:v>3.5</x:v>
      </x:c>
      <x:c r="H383" s="27" t="n">
        <x:v>11.874446785945535</x:v>
      </x:c>
      <x:c r="I383" s="27" t="n">
        <x:f>IF(OR(E383="",E383&lt;=0),"n.a.",J383/E383)</x:f>
        <x:v>11.865632254113411</x:v>
      </x:c>
      <x:c r="J383" s="27" t="n">
        <x:v>711.9379352468046</x:v>
      </x:c>
      <x:c r="K383" s="27"/>
      <x:c r="L383" s="27"/>
      <x:c r="M383" s="27" t="n">
        <x:v>2133.3333333333335</x:v>
      </x:c>
      <x:c r="N383" s="27" t="n">
        <x:v>2136.8333333333335</x:v>
      </x:c>
      <x:c r="O383" s="27" t="n">
        <x:v>0</x:v>
      </x:c>
      <x:c r="P383" s="27"/>
      <x:c r="Q383" s="1" t="str">
        <x:v>EXCAVATION</x:v>
      </x:c>
      <x:c r="R383" s="1" t="str">
        <x:v>CYR_DISTRIBUTION_DRIFT_SCENARIO</x:v>
      </x:c>
    </x:row>
    <x:row r="384" ht="22" customHeight="1">
      <x:c r="A384" s="1" t="str">
        <x:v>CX-RIN-TJ-C1-C02</x:v>
      </x:c>
      <x:c r="B384" s="1" t="str">
        <x:v>CYR_OVERHAND</x:v>
      </x:c>
      <x:c r="C384" s="1" t="str">
        <x:v>TJ-C1</x:v>
      </x:c>
      <x:c r="D384" s="1" t="str">
        <x:v>2</x:v>
      </x:c>
      <x:c r="E384" s="27" t="n">
        <x:v>33.432648608274356</x:v>
      </x:c>
      <x:c r="F384" s="27" t="n">
        <x:v>3.5</x:v>
      </x:c>
      <x:c r="G384" s="27" t="n">
        <x:v>3.5</x:v>
      </x:c>
      <x:c r="H384" s="27" t="n">
        <x:v>11.874446785945535</x:v>
      </x:c>
      <x:c r="I384" s="27" t="n">
        <x:f>IF(OR(E384="",E384&lt;=0),"n.a.",J384/E384)</x:f>
        <x:v>11.859733683440615</x:v>
      </x:c>
      <x:c r="J384" s="27" t="n">
        <x:v>396.50230882618536</x:v>
      </x:c>
      <x:c r="K384" s="27"/>
      <x:c r="L384" s="27"/>
      <x:c r="M384" s="27" t="n">
        <x:v>2133.3333333333335</x:v>
      </x:c>
      <x:c r="N384" s="27" t="n">
        <x:v>2136.8333333333335</x:v>
      </x:c>
      <x:c r="O384" s="27" t="n">
        <x:v>0</x:v>
      </x:c>
      <x:c r="P384" s="27" t="n">
        <x:v>19.9999999999923</x:v>
      </x:c>
      <x:c r="Q384" s="1" t="str">
        <x:v>EXCAVATION</x:v>
      </x:c>
      <x:c r="R384" s="1" t="str">
        <x:v>CYR_STOPE_ACCESS_SCENARIO</x:v>
      </x:c>
    </x:row>
    <x:row r="385" ht="22" customHeight="1">
      <x:c r="A385" s="1" t="str">
        <x:v>RIN-C-C03</x:v>
      </x:c>
      <x:c r="B385" s="1" t="str">
        <x:v>CYR_OVERHAND</x:v>
      </x:c>
      <x:c r="C385" s="1" t="str">
        <x:v>TJ-C1</x:v>
      </x:c>
      <x:c r="D385" s="1" t="str">
        <x:v>3</x:v>
      </x:c>
      <x:c r="E385" s="27" t="n">
        <x:v>213.93081930000486</x:v>
      </x:c>
      <x:c r="F385" s="27" t="n">
        <x:v>4.5</x:v>
      </x:c>
      <x:c r="G385" s="27" t="n">
        <x:v>4.5</x:v>
      </x:c>
      <x:c r="H385" s="27" t="n">
        <x:v>18.801437602932776</x:v>
      </x:c>
      <x:c r="I385" s="27" t="n">
        <x:f>IF(OR(E385="",E385&lt;=0),"n.a.",J385/E385)</x:f>
        <x:v>18.743741985935973</x:v>
      </x:c>
      <x:c r="J385" s="27" t="n">
        <x:v>4009.864079799183</x:v>
      </x:c>
      <x:c r="K385" s="27"/>
      <x:c r="L385" s="27"/>
      <x:c r="M385" s="27" t="n">
        <x:v>2130</x:v>
      </x:c>
      <x:c r="N385" s="27" t="n">
        <x:v>2141.1666666666665</x:v>
      </x:c>
      <x:c r="O385" s="27" t="n">
        <x:v>3.1177864409102085</x:v>
      </x:c>
      <x:c r="P385" s="27" t="n">
        <x:v>19.999999999992706</x:v>
      </x:c>
      <x:c r="Q385" s="1" t="str">
        <x:v>EXCAVATION</x:v>
      </x:c>
      <x:c r="R385" s="1" t="str">
        <x:v>CYR_RAMP_IN_SCENARIO</x:v>
      </x:c>
    </x:row>
    <x:row r="386" ht="22" customHeight="1">
      <x:c r="A386" s="1" t="str">
        <x:v>DIST-C-C03</x:v>
      </x:c>
      <x:c r="B386" s="1" t="str">
        <x:v>CYR_OVERHAND</x:v>
      </x:c>
      <x:c r="C386" s="1" t="str">
        <x:v>TJ-C1</x:v>
      </x:c>
      <x:c r="D386" s="1" t="str">
        <x:v>3</x:v>
      </x:c>
      <x:c r="E386" s="27" t="n">
        <x:v>60</x:v>
      </x:c>
      <x:c r="F386" s="27" t="n">
        <x:v>3.5</x:v>
      </x:c>
      <x:c r="G386" s="27" t="n">
        <x:v>3.5</x:v>
      </x:c>
      <x:c r="H386" s="27" t="n">
        <x:v>11.874446785945535</x:v>
      </x:c>
      <x:c r="I386" s="27" t="n">
        <x:f>IF(OR(E386="",E386&lt;=0),"n.a.",J386/E386)</x:f>
        <x:v>11.865632254113088</x:v>
      </x:c>
      <x:c r="J386" s="27" t="n">
        <x:v>711.9379352467853</x:v>
      </x:c>
      <x:c r="K386" s="27"/>
      <x:c r="L386" s="27"/>
      <x:c r="M386" s="27" t="n">
        <x:v>2136.6666666666665</x:v>
      </x:c>
      <x:c r="N386" s="27" t="n">
        <x:v>2140.1666666666665</x:v>
      </x:c>
      <x:c r="O386" s="27" t="n">
        <x:v>0</x:v>
      </x:c>
      <x:c r="P386" s="27"/>
      <x:c r="Q386" s="1" t="str">
        <x:v>EXCAVATION</x:v>
      </x:c>
      <x:c r="R386" s="1" t="str">
        <x:v>CYR_DISTRIBUTION_DRIFT_SCENARIO</x:v>
      </x:c>
    </x:row>
    <x:row r="387" ht="22" customHeight="1">
      <x:c r="A387" s="1" t="str">
        <x:v>CX-RIN-TJ-C1-C03</x:v>
      </x:c>
      <x:c r="B387" s="1" t="str">
        <x:v>CYR_OVERHAND</x:v>
      </x:c>
      <x:c r="C387" s="1" t="str">
        <x:v>TJ-C1</x:v>
      </x:c>
      <x:c r="D387" s="1" t="str">
        <x:v>3</x:v>
      </x:c>
      <x:c r="E387" s="27" t="n">
        <x:v>33.432648608274356</x:v>
      </x:c>
      <x:c r="F387" s="27" t="n">
        <x:v>3.5</x:v>
      </x:c>
      <x:c r="G387" s="27" t="n">
        <x:v>3.5</x:v>
      </x:c>
      <x:c r="H387" s="27" t="n">
        <x:v>11.874446785945535</x:v>
      </x:c>
      <x:c r="I387" s="27" t="n">
        <x:f>IF(OR(E387="",E387&lt;=0),"n.a.",J387/E387)</x:f>
        <x:v>11.859733683440615</x:v>
      </x:c>
      <x:c r="J387" s="27" t="n">
        <x:v>396.50230882618536</x:v>
      </x:c>
      <x:c r="K387" s="27"/>
      <x:c r="L387" s="27"/>
      <x:c r="M387" s="27" t="n">
        <x:v>2136.6666666666665</x:v>
      </x:c>
      <x:c r="N387" s="27" t="n">
        <x:v>2140.1666666666665</x:v>
      </x:c>
      <x:c r="O387" s="27" t="n">
        <x:v>0</x:v>
      </x:c>
      <x:c r="P387" s="27" t="n">
        <x:v>19.9999999999923</x:v>
      </x:c>
      <x:c r="Q387" s="1" t="str">
        <x:v>EXCAVATION</x:v>
      </x:c>
      <x:c r="R387" s="1" t="str">
        <x:v>CYR_STOPE_ACCESS_SCENARIO</x:v>
      </x:c>
    </x:row>
    <x:row r="388" ht="22" customHeight="1">
      <x:c r="A388" s="1" t="str">
        <x:v>RIN-C-C04</x:v>
      </x:c>
      <x:c r="B388" s="1" t="str">
        <x:v>CYR_OVERHAND</x:v>
      </x:c>
      <x:c r="C388" s="1" t="str">
        <x:v>TJ-C1</x:v>
      </x:c>
      <x:c r="D388" s="1" t="str">
        <x:v>4</x:v>
      </x:c>
      <x:c r="E388" s="27" t="n">
        <x:v>213.1684398386357</x:v>
      </x:c>
      <x:c r="F388" s="27" t="n">
        <x:v>4.5</x:v>
      </x:c>
      <x:c r="G388" s="27" t="n">
        <x:v>4.5</x:v>
      </x:c>
      <x:c r="H388" s="27" t="n">
        <x:v>18.801437602932776</x:v>
      </x:c>
      <x:c r="I388" s="27" t="n">
        <x:f>IF(OR(E388="",E388&lt;=0),"n.a.",J388/E388)</x:f>
        <x:v>18.731306741357237</x:v>
      </x:c>
      <x:c r="J388" s="27" t="n">
        <x:v>3992.9234341940414</x:v>
      </x:c>
      <x:c r="K388" s="27"/>
      <x:c r="L388" s="27"/>
      <x:c r="M388" s="27" t="n">
        <x:v>2130</x:v>
      </x:c>
      <x:c r="N388" s="27" t="n">
        <x:v>2144.5</x:v>
      </x:c>
      <x:c r="O388" s="27" t="n">
        <x:v>4.696296287239321</x:v>
      </x:c>
      <x:c r="P388" s="27" t="n">
        <x:v>19.999999999992706</x:v>
      </x:c>
      <x:c r="Q388" s="1" t="str">
        <x:v>EXCAVATION</x:v>
      </x:c>
      <x:c r="R388" s="1" t="str">
        <x:v>CYR_RAMP_IN_SCENARIO</x:v>
      </x:c>
    </x:row>
    <x:row r="389" ht="22" customHeight="1">
      <x:c r="A389" s="1" t="str">
        <x:v>DIST-C-C04</x:v>
      </x:c>
      <x:c r="B389" s="1" t="str">
        <x:v>CYR_OVERHAND</x:v>
      </x:c>
      <x:c r="C389" s="1" t="str">
        <x:v>TJ-C1</x:v>
      </x:c>
      <x:c r="D389" s="1" t="str">
        <x:v>4</x:v>
      </x:c>
      <x:c r="E389" s="27" t="n">
        <x:v>60</x:v>
      </x:c>
      <x:c r="F389" s="27" t="n">
        <x:v>3.5</x:v>
      </x:c>
      <x:c r="G389" s="27" t="n">
        <x:v>3.5</x:v>
      </x:c>
      <x:c r="H389" s="27" t="n">
        <x:v>11.874446785945535</x:v>
      </x:c>
      <x:c r="I389" s="27" t="n">
        <x:f>IF(OR(E389="",E389&lt;=0),"n.a.",J389/E389)</x:f>
        <x:v>11.865632254112118</x:v>
      </x:c>
      <x:c r="J389" s="27" t="n">
        <x:v>711.9379352467271</x:v>
      </x:c>
      <x:c r="K389" s="27"/>
      <x:c r="L389" s="27"/>
      <x:c r="M389" s="27" t="n">
        <x:v>2140</x:v>
      </x:c>
      <x:c r="N389" s="27" t="n">
        <x:v>2143.5</x:v>
      </x:c>
      <x:c r="O389" s="27" t="n">
        <x:v>0</x:v>
      </x:c>
      <x:c r="P389" s="27"/>
      <x:c r="Q389" s="1" t="str">
        <x:v>EXCAVATION</x:v>
      </x:c>
      <x:c r="R389" s="1" t="str">
        <x:v>CYR_DISTRIBUTION_DRIFT_SCENARIO</x:v>
      </x:c>
    </x:row>
    <x:row r="390" ht="22" customHeight="1">
      <x:c r="A390" s="1" t="str">
        <x:v>CX-RIN-TJ-C1-C04</x:v>
      </x:c>
      <x:c r="B390" s="1" t="str">
        <x:v>CYR_OVERHAND</x:v>
      </x:c>
      <x:c r="C390" s="1" t="str">
        <x:v>TJ-C1</x:v>
      </x:c>
      <x:c r="D390" s="1" t="str">
        <x:v>4</x:v>
      </x:c>
      <x:c r="E390" s="27" t="n">
        <x:v>33.432648608274356</x:v>
      </x:c>
      <x:c r="F390" s="27" t="n">
        <x:v>3.5</x:v>
      </x:c>
      <x:c r="G390" s="27" t="n">
        <x:v>3.5</x:v>
      </x:c>
      <x:c r="H390" s="27" t="n">
        <x:v>11.874446785945535</x:v>
      </x:c>
      <x:c r="I390" s="27" t="n">
        <x:f>IF(OR(E390="",E390&lt;=0),"n.a.",J390/E390)</x:f>
        <x:v>11.859733683440615</x:v>
      </x:c>
      <x:c r="J390" s="27" t="n">
        <x:v>396.50230882618536</x:v>
      </x:c>
      <x:c r="K390" s="27"/>
      <x:c r="L390" s="27"/>
      <x:c r="M390" s="27" t="n">
        <x:v>2140</x:v>
      </x:c>
      <x:c r="N390" s="27" t="n">
        <x:v>2143.5</x:v>
      </x:c>
      <x:c r="O390" s="27" t="n">
        <x:v>0</x:v>
      </x:c>
      <x:c r="P390" s="27" t="n">
        <x:v>19.9999999999923</x:v>
      </x:c>
      <x:c r="Q390" s="1" t="str">
        <x:v>EXCAVATION</x:v>
      </x:c>
      <x:c r="R390" s="1" t="str">
        <x:v>CYR_STOPE_ACCESS_SCENARIO</x:v>
      </x:c>
    </x:row>
    <x:row r="391" ht="22" customHeight="1">
      <x:c r="A391" s="1" t="str">
        <x:v>RIN-C-C05</x:v>
      </x:c>
      <x:c r="B391" s="1" t="str">
        <x:v>CYR_OVERHAND</x:v>
      </x:c>
      <x:c r="C391" s="1" t="str">
        <x:v>TJ-C1</x:v>
      </x:c>
      <x:c r="D391" s="1" t="str">
        <x:v>5</x:v>
      </x:c>
      <x:c r="E391" s="27" t="n">
        <x:v>212.45938375628094</x:v>
      </x:c>
      <x:c r="F391" s="27" t="n">
        <x:v>4.5</x:v>
      </x:c>
      <x:c r="G391" s="27" t="n">
        <x:v>4.5</x:v>
      </x:c>
      <x:c r="H391" s="27" t="n">
        <x:v>18.801437602932776</x:v>
      </x:c>
      <x:c r="I391" s="27" t="n">
        <x:f>IF(OR(E391="",E391&lt;=0),"n.a.",J391/E391)</x:f>
        <x:v>18.71409900547778</x:v>
      </x:c>
      <x:c r="J391" s="27" t="n">
        <x:v>3975.9859422578397</x:v>
      </x:c>
      <x:c r="K391" s="27"/>
      <x:c r="L391" s="27"/>
      <x:c r="M391" s="27" t="n">
        <x:v>2130</x:v>
      </x:c>
      <x:c r="N391" s="27" t="n">
        <x:v>2147.8333333333335</x:v>
      </x:c>
      <x:c r="O391" s="27" t="n">
        <x:v>6.288104230183085</x:v>
      </x:c>
      <x:c r="P391" s="27" t="n">
        <x:v>19.999999999992706</x:v>
      </x:c>
      <x:c r="Q391" s="1" t="str">
        <x:v>EXCAVATION</x:v>
      </x:c>
      <x:c r="R391" s="1" t="str">
        <x:v>CYR_RAMP_IN_SCENARIO</x:v>
      </x:c>
    </x:row>
    <x:row r="392" ht="22" customHeight="1">
      <x:c r="A392" s="1" t="str">
        <x:v>DIST-C-C05</x:v>
      </x:c>
      <x:c r="B392" s="1" t="str">
        <x:v>CYR_OVERHAND</x:v>
      </x:c>
      <x:c r="C392" s="1" t="str">
        <x:v>TJ-C1</x:v>
      </x:c>
      <x:c r="D392" s="1" t="str">
        <x:v>5</x:v>
      </x:c>
      <x:c r="E392" s="27" t="n">
        <x:v>60</x:v>
      </x:c>
      <x:c r="F392" s="27" t="n">
        <x:v>3.5</x:v>
      </x:c>
      <x:c r="G392" s="27" t="n">
        <x:v>3.5</x:v>
      </x:c>
      <x:c r="H392" s="27" t="n">
        <x:v>11.874446785945535</x:v>
      </x:c>
      <x:c r="I392" s="27" t="n">
        <x:f>IF(OR(E392="",E392&lt;=0),"n.a.",J392/E392)</x:f>
        <x:v>11.865632254111794</x:v>
      </x:c>
      <x:c r="J392" s="27" t="n">
        <x:v>711.9379352467076</x:v>
      </x:c>
      <x:c r="K392" s="27"/>
      <x:c r="L392" s="27"/>
      <x:c r="M392" s="27" t="n">
        <x:v>2143.3333333333335</x:v>
      </x:c>
      <x:c r="N392" s="27" t="n">
        <x:v>2146.8333333333335</x:v>
      </x:c>
      <x:c r="O392" s="27" t="n">
        <x:v>0</x:v>
      </x:c>
      <x:c r="P392" s="27"/>
      <x:c r="Q392" s="1" t="str">
        <x:v>EXCAVATION</x:v>
      </x:c>
      <x:c r="R392" s="1" t="str">
        <x:v>CYR_DISTRIBUTION_DRIFT_SCENARIO</x:v>
      </x:c>
    </x:row>
    <x:row r="393" ht="22" customHeight="1">
      <x:c r="A393" s="1" t="str">
        <x:v>CX-RIN-TJ-C1-C05</x:v>
      </x:c>
      <x:c r="B393" s="1" t="str">
        <x:v>CYR_OVERHAND</x:v>
      </x:c>
      <x:c r="C393" s="1" t="str">
        <x:v>TJ-C1</x:v>
      </x:c>
      <x:c r="D393" s="1" t="str">
        <x:v>5</x:v>
      </x:c>
      <x:c r="E393" s="27" t="n">
        <x:v>33.432648608274356</x:v>
      </x:c>
      <x:c r="F393" s="27" t="n">
        <x:v>3.5</x:v>
      </x:c>
      <x:c r="G393" s="27" t="n">
        <x:v>3.5</x:v>
      </x:c>
      <x:c r="H393" s="27" t="n">
        <x:v>11.874446785945535</x:v>
      </x:c>
      <x:c r="I393" s="27" t="n">
        <x:f>IF(OR(E393="",E393&lt;=0),"n.a.",J393/E393)</x:f>
        <x:v>11.859733683440034</x:v>
      </x:c>
      <x:c r="J393" s="27" t="n">
        <x:v>396.502308826166</x:v>
      </x:c>
      <x:c r="K393" s="27"/>
      <x:c r="L393" s="27"/>
      <x:c r="M393" s="27" t="n">
        <x:v>2143.3333333333335</x:v>
      </x:c>
      <x:c r="N393" s="27" t="n">
        <x:v>2146.8333333333335</x:v>
      </x:c>
      <x:c r="O393" s="27" t="n">
        <x:v>0</x:v>
      </x:c>
      <x:c r="P393" s="27" t="n">
        <x:v>19.9999999999923</x:v>
      </x:c>
      <x:c r="Q393" s="1" t="str">
        <x:v>EXCAVATION</x:v>
      </x:c>
      <x:c r="R393" s="1" t="str">
        <x:v>CYR_STOPE_ACCESS_SCENARIO</x:v>
      </x:c>
    </x:row>
    <x:row r="394" ht="22" customHeight="1">
      <x:c r="A394" s="1" t="str">
        <x:v>RIN-C-C06</x:v>
      </x:c>
      <x:c r="B394" s="1" t="str">
        <x:v>CYR_OVERHAND</x:v>
      </x:c>
      <x:c r="C394" s="1" t="str">
        <x:v>TJ-C1</x:v>
      </x:c>
      <x:c r="D394" s="1" t="str">
        <x:v>6</x:v>
      </x:c>
      <x:c r="E394" s="27" t="n">
        <x:v>211.80418658504644</x:v>
      </x:c>
      <x:c r="F394" s="27" t="n">
        <x:v>4.5</x:v>
      </x:c>
      <x:c r="G394" s="27" t="n">
        <x:v>4.5</x:v>
      </x:c>
      <x:c r="H394" s="27" t="n">
        <x:v>18.801437602932776</x:v>
      </x:c>
      <x:c r="I394" s="27" t="n">
        <x:f>IF(OR(E394="",E394&lt;=0),"n.a.",J394/E394)</x:f>
        <x:v>18.69198664396612</x:v>
      </x:c>
      <x:c r="J394" s="27" t="n">
        <x:v>3959.0410267837965</x:v>
      </x:c>
      <x:c r="K394" s="27"/>
      <x:c r="L394" s="27"/>
      <x:c r="M394" s="27" t="n">
        <x:v>2130</x:v>
      </x:c>
      <x:c r="N394" s="27" t="n">
        <x:v>2151.1666666666665</x:v>
      </x:c>
      <x:c r="O394" s="27" t="n">
        <x:v>7.893379024545344</x:v>
      </x:c>
      <x:c r="P394" s="27" t="n">
        <x:v>19.999999999992706</x:v>
      </x:c>
      <x:c r="Q394" s="1" t="str">
        <x:v>EXCAVATION</x:v>
      </x:c>
      <x:c r="R394" s="1" t="str">
        <x:v>CYR_RAMP_IN_SCENARIO</x:v>
      </x:c>
    </x:row>
    <x:row r="395" ht="22" customHeight="1">
      <x:c r="A395" s="1" t="str">
        <x:v>DIST-C-C06</x:v>
      </x:c>
      <x:c r="B395" s="1" t="str">
        <x:v>CYR_OVERHAND</x:v>
      </x:c>
      <x:c r="C395" s="1" t="str">
        <x:v>TJ-C1</x:v>
      </x:c>
      <x:c r="D395" s="1" t="str">
        <x:v>6</x:v>
      </x:c>
      <x:c r="E395" s="27" t="n">
        <x:v>60</x:v>
      </x:c>
      <x:c r="F395" s="27" t="n">
        <x:v>3.5</x:v>
      </x:c>
      <x:c r="G395" s="27" t="n">
        <x:v>3.5</x:v>
      </x:c>
      <x:c r="H395" s="27" t="n">
        <x:v>11.874446785945535</x:v>
      </x:c>
      <x:c r="I395" s="27" t="n">
        <x:f>IF(OR(E395="",E395&lt;=0),"n.a.",J395/E395)</x:f>
        <x:v>11.86563225411147</x:v>
      </x:c>
      <x:c r="J395" s="27" t="n">
        <x:v>711.9379352466882</x:v>
      </x:c>
      <x:c r="K395" s="27"/>
      <x:c r="L395" s="27"/>
      <x:c r="M395" s="27" t="n">
        <x:v>2146.6666666666665</x:v>
      </x:c>
      <x:c r="N395" s="27" t="n">
        <x:v>2150.1666666666665</x:v>
      </x:c>
      <x:c r="O395" s="27" t="n">
        <x:v>0</x:v>
      </x:c>
      <x:c r="P395" s="27"/>
      <x:c r="Q395" s="1" t="str">
        <x:v>EXCAVATION</x:v>
      </x:c>
      <x:c r="R395" s="1" t="str">
        <x:v>CYR_DISTRIBUTION_DRIFT_SCENARIO</x:v>
      </x:c>
    </x:row>
    <x:row r="396" ht="22" customHeight="1">
      <x:c r="A396" s="1" t="str">
        <x:v>CX-RIN-TJ-C1-C06</x:v>
      </x:c>
      <x:c r="B396" s="1" t="str">
        <x:v>CYR_OVERHAND</x:v>
      </x:c>
      <x:c r="C396" s="1" t="str">
        <x:v>TJ-C1</x:v>
      </x:c>
      <x:c r="D396" s="1" t="str">
        <x:v>6</x:v>
      </x:c>
      <x:c r="E396" s="27" t="n">
        <x:v>33.43264860827436</x:v>
      </x:c>
      <x:c r="F396" s="27" t="n">
        <x:v>3.5</x:v>
      </x:c>
      <x:c r="G396" s="27" t="n">
        <x:v>3.5</x:v>
      </x:c>
      <x:c r="H396" s="27" t="n">
        <x:v>11.874446785945535</x:v>
      </x:c>
      <x:c r="I396" s="27" t="n">
        <x:f>IF(OR(E396="",E396&lt;=0),"n.a.",J396/E396)</x:f>
        <x:v>11.859733683440611</x:v>
      </x:c>
      <x:c r="J396" s="27" t="n">
        <x:v>396.50230882618536</x:v>
      </x:c>
      <x:c r="K396" s="27"/>
      <x:c r="L396" s="27"/>
      <x:c r="M396" s="27" t="n">
        <x:v>2146.6666666666665</x:v>
      </x:c>
      <x:c r="N396" s="27" t="n">
        <x:v>2150.1666666666665</x:v>
      </x:c>
      <x:c r="O396" s="27" t="n">
        <x:v>0</x:v>
      </x:c>
      <x:c r="P396" s="27" t="n">
        <x:v>19.9999999999923</x:v>
      </x:c>
      <x:c r="Q396" s="1" t="str">
        <x:v>EXCAVATION</x:v>
      </x:c>
      <x:c r="R396" s="1" t="str">
        <x:v>CYR_STOPE_ACCESS_SCENARIO</x:v>
      </x:c>
    </x:row>
    <x:row r="397" ht="22" customHeight="1">
      <x:c r="A397" s="1" t="str">
        <x:v>RIN-C-C07</x:v>
      </x:c>
      <x:c r="B397" s="1" t="str">
        <x:v>CYR_OVERHAND</x:v>
      </x:c>
      <x:c r="C397" s="1" t="str">
        <x:v>TJ-C1</x:v>
      </x:c>
      <x:c r="D397" s="1" t="str">
        <x:v>7</x:v>
      </x:c>
      <x:c r="E397" s="27" t="n">
        <x:v>215.61324627819013</x:v>
      </x:c>
      <x:c r="F397" s="27" t="n">
        <x:v>4.5</x:v>
      </x:c>
      <x:c r="G397" s="27" t="n">
        <x:v>4.5</x:v>
      </x:c>
      <x:c r="H397" s="27" t="n">
        <x:v>18.801437602932776</x:v>
      </x:c>
      <x:c r="I397" s="27" t="n">
        <x:f>IF(OR(E397="",E397&lt;=0),"n.a.",J397/E397)</x:f>
        <x:v>18.75457436036913</x:v>
      </x:c>
      <x:c r="J397" s="27" t="n">
        <x:v>4043.7346604048994</x:v>
      </x:c>
      <x:c r="K397" s="27"/>
      <x:c r="L397" s="27"/>
      <x:c r="M397" s="27" t="n">
        <x:v>2150</x:v>
      </x:c>
      <x:c r="N397" s="27" t="n">
        <x:v>2154.5</x:v>
      </x:c>
      <x:c r="O397" s="27" t="n">
        <x:v>0</x:v>
      </x:c>
      <x:c r="P397" s="27" t="n">
        <x:v>19.999999999994323</x:v>
      </x:c>
      <x:c r="Q397" s="1" t="str">
        <x:v>EXCAVATION</x:v>
      </x:c>
      <x:c r="R397" s="1" t="str">
        <x:v>CYR_RAMP_IN_SCENARIO</x:v>
      </x:c>
    </x:row>
    <x:row r="398" ht="22" customHeight="1">
      <x:c r="A398" s="1" t="str">
        <x:v>DIST-C-C07</x:v>
      </x:c>
      <x:c r="B398" s="1" t="str">
        <x:v>CYR_OVERHAND</x:v>
      </x:c>
      <x:c r="C398" s="1" t="str">
        <x:v>TJ-C1</x:v>
      </x:c>
      <x:c r="D398" s="1" t="str">
        <x:v>7</x:v>
      </x:c>
      <x:c r="E398" s="27" t="n">
        <x:v>60</x:v>
      </x:c>
      <x:c r="F398" s="27" t="n">
        <x:v>3.5</x:v>
      </x:c>
      <x:c r="G398" s="27" t="n">
        <x:v>3.5</x:v>
      </x:c>
      <x:c r="H398" s="27" t="n">
        <x:v>11.874446785945535</x:v>
      </x:c>
      <x:c r="I398" s="27" t="n">
        <x:f>IF(OR(E398="",E398&lt;=0),"n.a.",J398/E398)</x:f>
        <x:v>11.865632254113006</x:v>
      </x:c>
      <x:c r="J398" s="27" t="n">
        <x:v>711.9379352467804</x:v>
      </x:c>
      <x:c r="K398" s="27"/>
      <x:c r="L398" s="27"/>
      <x:c r="M398" s="27" t="n">
        <x:v>2150</x:v>
      </x:c>
      <x:c r="N398" s="27" t="n">
        <x:v>2153.5</x:v>
      </x:c>
      <x:c r="O398" s="27" t="n">
        <x:v>0</x:v>
      </x:c>
      <x:c r="P398" s="27"/>
      <x:c r="Q398" s="1" t="str">
        <x:v>EXCAVATION</x:v>
      </x:c>
      <x:c r="R398" s="1" t="str">
        <x:v>CYR_DISTRIBUTION_DRIFT_SCENARIO</x:v>
      </x:c>
    </x:row>
    <x:row r="399" ht="22" customHeight="1">
      <x:c r="A399" s="1" t="str">
        <x:v>CX-RIN-TJ-C1-C07</x:v>
      </x:c>
      <x:c r="B399" s="1" t="str">
        <x:v>CYR_OVERHAND</x:v>
      </x:c>
      <x:c r="C399" s="1" t="str">
        <x:v>TJ-C1</x:v>
      </x:c>
      <x:c r="D399" s="1" t="str">
        <x:v>7</x:v>
      </x:c>
      <x:c r="E399" s="27" t="n">
        <x:v>33.432648608274356</x:v>
      </x:c>
      <x:c r="F399" s="27" t="n">
        <x:v>3.5</x:v>
      </x:c>
      <x:c r="G399" s="27" t="n">
        <x:v>3.5</x:v>
      </x:c>
      <x:c r="H399" s="27" t="n">
        <x:v>11.874446785945535</x:v>
      </x:c>
      <x:c r="I399" s="27" t="n">
        <x:f>IF(OR(E399="",E399&lt;=0),"n.a.",J399/E399)</x:f>
        <x:v>11.859733683440325</x:v>
      </x:c>
      <x:c r="J399" s="27" t="n">
        <x:v>396.5023088261757</x:v>
      </x:c>
      <x:c r="K399" s="27"/>
      <x:c r="L399" s="27"/>
      <x:c r="M399" s="27" t="n">
        <x:v>2150</x:v>
      </x:c>
      <x:c r="N399" s="27" t="n">
        <x:v>2153.5</x:v>
      </x:c>
      <x:c r="O399" s="27" t="n">
        <x:v>0</x:v>
      </x:c>
      <x:c r="P399" s="27" t="n">
        <x:v>19.9999999999923</x:v>
      </x:c>
      <x:c r="Q399" s="1" t="str">
        <x:v>EXCAVATION</x:v>
      </x:c>
      <x:c r="R399" s="1" t="str">
        <x:v>CYR_STOPE_ACCESS_SCENARIO</x:v>
      </x:c>
    </x:row>
    <x:row r="400" ht="22" customHeight="1">
      <x:c r="A400" s="1" t="str">
        <x:v>RIN-C-C08</x:v>
      </x:c>
      <x:c r="B400" s="1" t="str">
        <x:v>CYR_OVERHAND</x:v>
      </x:c>
      <x:c r="C400" s="1" t="str">
        <x:v>TJ-C1</x:v>
      </x:c>
      <x:c r="D400" s="1" t="str">
        <x:v>8</x:v>
      </x:c>
      <x:c r="E400" s="27" t="n">
        <x:v>214.74595422381873</x:v>
      </x:c>
      <x:c r="F400" s="27" t="n">
        <x:v>4.5</x:v>
      </x:c>
      <x:c r="G400" s="27" t="n">
        <x:v>4.5</x:v>
      </x:c>
      <x:c r="H400" s="27" t="n">
        <x:v>18.801437602932776</x:v>
      </x:c>
      <x:c r="I400" s="27" t="n">
        <x:f>IF(OR(E400="",E400&lt;=0),"n.a.",J400/E400)</x:f>
        <x:v>18.751458102686637</x:v>
      </x:c>
      <x:c r="J400" s="27" t="n">
        <x:v>4026.799763349399</x:v>
      </x:c>
      <x:c r="K400" s="27"/>
      <x:c r="L400" s="27"/>
      <x:c r="M400" s="27" t="n">
        <x:v>2150</x:v>
      </x:c>
      <x:c r="N400" s="27" t="n">
        <x:v>2157.8333333333335</x:v>
      </x:c>
      <x:c r="O400" s="27" t="n">
        <x:v>1.5524087442476335</x:v>
      </x:c>
      <x:c r="P400" s="27" t="n">
        <x:v>19.999999999994323</x:v>
      </x:c>
      <x:c r="Q400" s="1" t="str">
        <x:v>EXCAVATION</x:v>
      </x:c>
      <x:c r="R400" s="1" t="str">
        <x:v>CYR_RAMP_IN_SCENARIO</x:v>
      </x:c>
    </x:row>
    <x:row r="401" ht="22" customHeight="1">
      <x:c r="A401" s="1" t="str">
        <x:v>DIST-C-C08</x:v>
      </x:c>
      <x:c r="B401" s="1" t="str">
        <x:v>CYR_OVERHAND</x:v>
      </x:c>
      <x:c r="C401" s="1" t="str">
        <x:v>TJ-C1</x:v>
      </x:c>
      <x:c r="D401" s="1" t="str">
        <x:v>8</x:v>
      </x:c>
      <x:c r="E401" s="27" t="n">
        <x:v>60</x:v>
      </x:c>
      <x:c r="F401" s="27" t="n">
        <x:v>3.5</x:v>
      </x:c>
      <x:c r="G401" s="27" t="n">
        <x:v>3.5</x:v>
      </x:c>
      <x:c r="H401" s="27" t="n">
        <x:v>11.874446785945535</x:v>
      </x:c>
      <x:c r="I401" s="27" t="n">
        <x:f>IF(OR(E401="",E401&lt;=0),"n.a.",J401/E401)</x:f>
        <x:v>11.865632254113978</x:v>
      </x:c>
      <x:c r="J401" s="27" t="n">
        <x:v>711.9379352468386</x:v>
      </x:c>
      <x:c r="K401" s="27"/>
      <x:c r="L401" s="27"/>
      <x:c r="M401" s="27" t="n">
        <x:v>2153.3333333333335</x:v>
      </x:c>
      <x:c r="N401" s="27" t="n">
        <x:v>2156.8333333333335</x:v>
      </x:c>
      <x:c r="O401" s="27" t="n">
        <x:v>0</x:v>
      </x:c>
      <x:c r="P401" s="27"/>
      <x:c r="Q401" s="1" t="str">
        <x:v>EXCAVATION</x:v>
      </x:c>
      <x:c r="R401" s="1" t="str">
        <x:v>CYR_DISTRIBUTION_DRIFT_SCENARIO</x:v>
      </x:c>
    </x:row>
    <x:row r="402" ht="22" customHeight="1">
      <x:c r="A402" s="1" t="str">
        <x:v>CX-RIN-TJ-C1-C08</x:v>
      </x:c>
      <x:c r="B402" s="1" t="str">
        <x:v>CYR_OVERHAND</x:v>
      </x:c>
      <x:c r="C402" s="1" t="str">
        <x:v>TJ-C1</x:v>
      </x:c>
      <x:c r="D402" s="1" t="str">
        <x:v>8</x:v>
      </x:c>
      <x:c r="E402" s="27" t="n">
        <x:v>33.432648608274356</x:v>
      </x:c>
      <x:c r="F402" s="27" t="n">
        <x:v>3.5</x:v>
      </x:c>
      <x:c r="G402" s="27" t="n">
        <x:v>3.5</x:v>
      </x:c>
      <x:c r="H402" s="27" t="n">
        <x:v>11.874446785945535</x:v>
      </x:c>
      <x:c r="I402" s="27" t="n">
        <x:f>IF(OR(E402="",E402&lt;=0),"n.a.",J402/E402)</x:f>
        <x:v>11.859733683440906</x:v>
      </x:c>
      <x:c r="J402" s="27" t="n">
        <x:v>396.5023088261951</x:v>
      </x:c>
      <x:c r="K402" s="27"/>
      <x:c r="L402" s="27"/>
      <x:c r="M402" s="27" t="n">
        <x:v>2153.3333333333335</x:v>
      </x:c>
      <x:c r="N402" s="27" t="n">
        <x:v>2156.8333333333335</x:v>
      </x:c>
      <x:c r="O402" s="27" t="n">
        <x:v>0</x:v>
      </x:c>
      <x:c r="P402" s="27" t="n">
        <x:v>19.9999999999923</x:v>
      </x:c>
      <x:c r="Q402" s="1" t="str">
        <x:v>EXCAVATION</x:v>
      </x:c>
      <x:c r="R402" s="1" t="str">
        <x:v>CYR_STOPE_ACCESS_SCENARIO</x:v>
      </x:c>
    </x:row>
    <x:row r="403" ht="22" customHeight="1">
      <x:c r="A403" s="1" t="str">
        <x:v>RIN-C-C09</x:v>
      </x:c>
      <x:c r="B403" s="1" t="str">
        <x:v>CYR_OVERHAND</x:v>
      </x:c>
      <x:c r="C403" s="1" t="str">
        <x:v>TJ-C1</x:v>
      </x:c>
      <x:c r="D403" s="1" t="str">
        <x:v>9</x:v>
      </x:c>
      <x:c r="E403" s="27" t="n">
        <x:v>213.93081930000486</x:v>
      </x:c>
      <x:c r="F403" s="27" t="n">
        <x:v>4.5</x:v>
      </x:c>
      <x:c r="G403" s="27" t="n">
        <x:v>4.5</x:v>
      </x:c>
      <x:c r="H403" s="27" t="n">
        <x:v>18.801437602932776</x:v>
      </x:c>
      <x:c r="I403" s="27" t="n">
        <x:f>IF(OR(E403="",E403&lt;=0),"n.a.",J403/E403)</x:f>
        <x:v>18.743741985936246</x:v>
      </x:c>
      <x:c r="J403" s="27" t="n">
        <x:v>4009.864079799241</x:v>
      </x:c>
      <x:c r="K403" s="27"/>
      <x:c r="L403" s="27"/>
      <x:c r="M403" s="27" t="n">
        <x:v>2150</x:v>
      </x:c>
      <x:c r="N403" s="27" t="n">
        <x:v>2161.1666666666665</x:v>
      </x:c>
      <x:c r="O403" s="27" t="n">
        <x:v>3.11778644091039</x:v>
      </x:c>
      <x:c r="P403" s="27" t="n">
        <x:v>19.999999999994323</x:v>
      </x:c>
      <x:c r="Q403" s="1" t="str">
        <x:v>EXCAVATION</x:v>
      </x:c>
      <x:c r="R403" s="1" t="str">
        <x:v>CYR_RAMP_IN_SCENARIO</x:v>
      </x:c>
    </x:row>
    <x:row r="404" ht="22" customHeight="1">
      <x:c r="A404" s="1" t="str">
        <x:v>DIST-C-C09</x:v>
      </x:c>
      <x:c r="B404" s="1" t="str">
        <x:v>CYR_OVERHAND</x:v>
      </x:c>
      <x:c r="C404" s="1" t="str">
        <x:v>TJ-C1</x:v>
      </x:c>
      <x:c r="D404" s="1" t="str">
        <x:v>9</x:v>
      </x:c>
      <x:c r="E404" s="27" t="n">
        <x:v>60</x:v>
      </x:c>
      <x:c r="F404" s="27" t="n">
        <x:v>3.5</x:v>
      </x:c>
      <x:c r="G404" s="27" t="n">
        <x:v>3.5</x:v>
      </x:c>
      <x:c r="H404" s="27" t="n">
        <x:v>11.874446785945535</x:v>
      </x:c>
      <x:c r="I404" s="27" t="n">
        <x:f>IF(OR(E404="",E404&lt;=0),"n.a.",J404/E404)</x:f>
        <x:v>11.865632254113088</x:v>
      </x:c>
      <x:c r="J404" s="27" t="n">
        <x:v>711.9379352467853</x:v>
      </x:c>
      <x:c r="K404" s="27"/>
      <x:c r="L404" s="27"/>
      <x:c r="M404" s="27" t="n">
        <x:v>2156.6666666666665</x:v>
      </x:c>
      <x:c r="N404" s="27" t="n">
        <x:v>2160.1666666666665</x:v>
      </x:c>
      <x:c r="O404" s="27" t="n">
        <x:v>0</x:v>
      </x:c>
      <x:c r="P404" s="27"/>
      <x:c r="Q404" s="1" t="str">
        <x:v>EXCAVATION</x:v>
      </x:c>
      <x:c r="R404" s="1" t="str">
        <x:v>CYR_DISTRIBUTION_DRIFT_SCENARIO</x:v>
      </x:c>
    </x:row>
    <x:row r="405" ht="22" customHeight="1">
      <x:c r="A405" s="1" t="str">
        <x:v>CX-RIN-TJ-C1-C09</x:v>
      </x:c>
      <x:c r="B405" s="1" t="str">
        <x:v>CYR_OVERHAND</x:v>
      </x:c>
      <x:c r="C405" s="1" t="str">
        <x:v>TJ-C1</x:v>
      </x:c>
      <x:c r="D405" s="1" t="str">
        <x:v>9</x:v>
      </x:c>
      <x:c r="E405" s="27" t="n">
        <x:v>33.432648608274356</x:v>
      </x:c>
      <x:c r="F405" s="27" t="n">
        <x:v>3.5</x:v>
      </x:c>
      <x:c r="G405" s="27" t="n">
        <x:v>3.5</x:v>
      </x:c>
      <x:c r="H405" s="27" t="n">
        <x:v>11.874446785945535</x:v>
      </x:c>
      <x:c r="I405" s="27" t="n">
        <x:f>IF(OR(E405="",E405&lt;=0),"n.a.",J405/E405)</x:f>
        <x:v>11.859733683440325</x:v>
      </x:c>
      <x:c r="J405" s="27" t="n">
        <x:v>396.5023088261757</x:v>
      </x:c>
      <x:c r="K405" s="27"/>
      <x:c r="L405" s="27"/>
      <x:c r="M405" s="27" t="n">
        <x:v>2156.6666666666665</x:v>
      </x:c>
      <x:c r="N405" s="27" t="n">
        <x:v>2160.1666666666665</x:v>
      </x:c>
      <x:c r="O405" s="27" t="n">
        <x:v>0</x:v>
      </x:c>
      <x:c r="P405" s="27" t="n">
        <x:v>19.9999999999923</x:v>
      </x:c>
      <x:c r="Q405" s="1" t="str">
        <x:v>EXCAVATION</x:v>
      </x:c>
      <x:c r="R405" s="1" t="str">
        <x:v>CYR_STOPE_ACCESS_SCENARIO</x:v>
      </x:c>
    </x:row>
    <x:row r="406" ht="22" customHeight="1">
      <x:c r="A406" s="1" t="str">
        <x:v>RIN-C-C10</x:v>
      </x:c>
      <x:c r="B406" s="1" t="str">
        <x:v>CYR_OVERHAND</x:v>
      </x:c>
      <x:c r="C406" s="1" t="str">
        <x:v>TJ-C1</x:v>
      </x:c>
      <x:c r="D406" s="1" t="str">
        <x:v>10</x:v>
      </x:c>
      <x:c r="E406" s="27" t="n">
        <x:v>213.16843983863572</x:v>
      </x:c>
      <x:c r="F406" s="27" t="n">
        <x:v>4.5</x:v>
      </x:c>
      <x:c r="G406" s="27" t="n">
        <x:v>4.5</x:v>
      </x:c>
      <x:c r="H406" s="27" t="n">
        <x:v>18.801437602932776</x:v>
      </x:c>
      <x:c r="I406" s="27" t="n">
        <x:f>IF(OR(E406="",E406&lt;=0),"n.a.",J406/E406)</x:f>
        <x:v>18.731306741357052</x:v>
      </x:c>
      <x:c r="J406" s="27" t="n">
        <x:v>3992.9234341940028</x:v>
      </x:c>
      <x:c r="K406" s="27"/>
      <x:c r="L406" s="27"/>
      <x:c r="M406" s="27" t="n">
        <x:v>2150</x:v>
      </x:c>
      <x:c r="N406" s="27" t="n">
        <x:v>2164.5</x:v>
      </x:c>
      <x:c r="O406" s="27" t="n">
        <x:v>4.696296287239328</x:v>
      </x:c>
      <x:c r="P406" s="27" t="n">
        <x:v>19.999999999994323</x:v>
      </x:c>
      <x:c r="Q406" s="1" t="str">
        <x:v>EXCAVATION</x:v>
      </x:c>
      <x:c r="R406" s="1" t="str">
        <x:v>CYR_RAMP_IN_SCENARIO</x:v>
      </x:c>
    </x:row>
    <x:row r="407" ht="22" customHeight="1">
      <x:c r="A407" s="1" t="str">
        <x:v>DIST-C-C10</x:v>
      </x:c>
      <x:c r="B407" s="1" t="str">
        <x:v>CYR_OVERHAND</x:v>
      </x:c>
      <x:c r="C407" s="1" t="str">
        <x:v>TJ-C1</x:v>
      </x:c>
      <x:c r="D407" s="1" t="str">
        <x:v>10</x:v>
      </x:c>
      <x:c r="E407" s="27" t="n">
        <x:v>60</x:v>
      </x:c>
      <x:c r="F407" s="27" t="n">
        <x:v>3.5</x:v>
      </x:c>
      <x:c r="G407" s="27" t="n">
        <x:v>3.5</x:v>
      </x:c>
      <x:c r="H407" s="27" t="n">
        <x:v>11.874446785945535</x:v>
      </x:c>
      <x:c r="I407" s="27" t="n">
        <x:f>IF(OR(E407="",E407&lt;=0),"n.a.",J407/E407)</x:f>
        <x:v>11.865632254112764</x:v>
      </x:c>
      <x:c r="J407" s="27" t="n">
        <x:v>711.9379352467658</x:v>
      </x:c>
      <x:c r="K407" s="27"/>
      <x:c r="L407" s="27"/>
      <x:c r="M407" s="27" t="n">
        <x:v>2160</x:v>
      </x:c>
      <x:c r="N407" s="27" t="n">
        <x:v>2163.5</x:v>
      </x:c>
      <x:c r="O407" s="27" t="n">
        <x:v>0</x:v>
      </x:c>
      <x:c r="P407" s="27"/>
      <x:c r="Q407" s="1" t="str">
        <x:v>EXCAVATION</x:v>
      </x:c>
      <x:c r="R407" s="1" t="str">
        <x:v>CYR_DISTRIBUTION_DRIFT_SCENARIO</x:v>
      </x:c>
    </x:row>
    <x:row r="408" ht="22" customHeight="1">
      <x:c r="A408" s="1" t="str">
        <x:v>CX-RIN-TJ-C1-C10</x:v>
      </x:c>
      <x:c r="B408" s="1" t="str">
        <x:v>CYR_OVERHAND</x:v>
      </x:c>
      <x:c r="C408" s="1" t="str">
        <x:v>TJ-C1</x:v>
      </x:c>
      <x:c r="D408" s="1" t="str">
        <x:v>10</x:v>
      </x:c>
      <x:c r="E408" s="27" t="n">
        <x:v>33.43264860827436</x:v>
      </x:c>
      <x:c r="F408" s="27" t="n">
        <x:v>3.5</x:v>
      </x:c>
      <x:c r="G408" s="27" t="n">
        <x:v>3.5</x:v>
      </x:c>
      <x:c r="H408" s="27" t="n">
        <x:v>11.874446785945535</x:v>
      </x:c>
      <x:c r="I408" s="27" t="n">
        <x:f>IF(OR(E408="",E408&lt;=0),"n.a.",J408/E408)</x:f>
        <x:v>11.85973368343974</x:v>
      </x:c>
      <x:c r="J408" s="27" t="n">
        <x:v>396.50230882615625</x:v>
      </x:c>
      <x:c r="K408" s="27"/>
      <x:c r="L408" s="27"/>
      <x:c r="M408" s="27" t="n">
        <x:v>2160</x:v>
      </x:c>
      <x:c r="N408" s="27" t="n">
        <x:v>2163.5</x:v>
      </x:c>
      <x:c r="O408" s="27" t="n">
        <x:v>0</x:v>
      </x:c>
      <x:c r="P408" s="27" t="n">
        <x:v>19.9999999999923</x:v>
      </x:c>
      <x:c r="Q408" s="1" t="str">
        <x:v>EXCAVATION</x:v>
      </x:c>
      <x:c r="R408" s="1" t="str">
        <x:v>CYR_STOPE_ACCESS_SCENARIO</x:v>
      </x:c>
    </x:row>
    <x:row r="409" ht="22" customHeight="1">
      <x:c r="A409" s="1" t="str">
        <x:v>RIN-C-C11</x:v>
      </x:c>
      <x:c r="B409" s="1" t="str">
        <x:v>CYR_OVERHAND</x:v>
      </x:c>
      <x:c r="C409" s="1" t="str">
        <x:v>TJ-C1</x:v>
      </x:c>
      <x:c r="D409" s="1" t="str">
        <x:v>11</x:v>
      </x:c>
      <x:c r="E409" s="27" t="n">
        <x:v>212.45938375628094</x:v>
      </x:c>
      <x:c r="F409" s="27" t="n">
        <x:v>4.5</x:v>
      </x:c>
      <x:c r="G409" s="27" t="n">
        <x:v>4.5</x:v>
      </x:c>
      <x:c r="H409" s="27" t="n">
        <x:v>18.801437602932776</x:v>
      </x:c>
      <x:c r="I409" s="27" t="n">
        <x:f>IF(OR(E409="",E409&lt;=0),"n.a.",J409/E409)</x:f>
        <x:v>18.71409900547824</x:v>
      </x:c>
      <x:c r="J409" s="27" t="n">
        <x:v>3975.985942257937</x:v>
      </x:c>
      <x:c r="K409" s="27"/>
      <x:c r="L409" s="27"/>
      <x:c r="M409" s="27" t="n">
        <x:v>2150</x:v>
      </x:c>
      <x:c r="N409" s="27" t="n">
        <x:v>2167.8333333333335</x:v>
      </x:c>
      <x:c r="O409" s="27" t="n">
        <x:v>6.288104230183274</x:v>
      </x:c>
      <x:c r="P409" s="27" t="n">
        <x:v>19.999999999994323</x:v>
      </x:c>
      <x:c r="Q409" s="1" t="str">
        <x:v>EXCAVATION</x:v>
      </x:c>
      <x:c r="R409" s="1" t="str">
        <x:v>CYR_RAMP_IN_SCENARIO</x:v>
      </x:c>
    </x:row>
    <x:row r="410" ht="22" customHeight="1">
      <x:c r="A410" s="1" t="str">
        <x:v>DIST-C-C11</x:v>
      </x:c>
      <x:c r="B410" s="1" t="str">
        <x:v>CYR_OVERHAND</x:v>
      </x:c>
      <x:c r="C410" s="1" t="str">
        <x:v>TJ-C1</x:v>
      </x:c>
      <x:c r="D410" s="1" t="str">
        <x:v>11</x:v>
      </x:c>
      <x:c r="E410" s="27" t="n">
        <x:v>60</x:v>
      </x:c>
      <x:c r="F410" s="27" t="n">
        <x:v>3.5</x:v>
      </x:c>
      <x:c r="G410" s="27" t="n">
        <x:v>3.5</x:v>
      </x:c>
      <x:c r="H410" s="27" t="n">
        <x:v>11.874446785945535</x:v>
      </x:c>
      <x:c r="I410" s="27" t="n">
        <x:f>IF(OR(E410="",E410&lt;=0),"n.a.",J410/E410)</x:f>
        <x:v>11.86563225411244</x:v>
      </x:c>
      <x:c r="J410" s="27" t="n">
        <x:v>711.9379352467464</x:v>
      </x:c>
      <x:c r="K410" s="27"/>
      <x:c r="L410" s="27"/>
      <x:c r="M410" s="27" t="n">
        <x:v>2163.3333333333335</x:v>
      </x:c>
      <x:c r="N410" s="27" t="n">
        <x:v>2166.8333333333335</x:v>
      </x:c>
      <x:c r="O410" s="27" t="n">
        <x:v>0</x:v>
      </x:c>
      <x:c r="P410" s="27"/>
      <x:c r="Q410" s="1" t="str">
        <x:v>EXCAVATION</x:v>
      </x:c>
      <x:c r="R410" s="1" t="str">
        <x:v>CYR_DISTRIBUTION_DRIFT_SCENARIO</x:v>
      </x:c>
    </x:row>
    <x:row r="411" ht="22" customHeight="1">
      <x:c r="A411" s="1" t="str">
        <x:v>CX-RIN-TJ-C1-C11</x:v>
      </x:c>
      <x:c r="B411" s="1" t="str">
        <x:v>CYR_OVERHAND</x:v>
      </x:c>
      <x:c r="C411" s="1" t="str">
        <x:v>TJ-C1</x:v>
      </x:c>
      <x:c r="D411" s="1" t="str">
        <x:v>11</x:v>
      </x:c>
      <x:c r="E411" s="27" t="n">
        <x:v>33.43264860827436</x:v>
      </x:c>
      <x:c r="F411" s="27" t="n">
        <x:v>3.5</x:v>
      </x:c>
      <x:c r="G411" s="27" t="n">
        <x:v>3.5</x:v>
      </x:c>
      <x:c r="H411" s="27" t="n">
        <x:v>11.874446785945535</x:v>
      </x:c>
      <x:c r="I411" s="27" t="n">
        <x:f>IF(OR(E411="",E411&lt;=0),"n.a.",J411/E411)</x:f>
        <x:v>11.859733683441483</x:v>
      </x:c>
      <x:c r="J411" s="27" t="n">
        <x:v>396.50230882621446</x:v>
      </x:c>
      <x:c r="K411" s="27"/>
      <x:c r="L411" s="27"/>
      <x:c r="M411" s="27" t="n">
        <x:v>2163.3333333333335</x:v>
      </x:c>
      <x:c r="N411" s="27" t="n">
        <x:v>2166.8333333333335</x:v>
      </x:c>
      <x:c r="O411" s="27" t="n">
        <x:v>0</x:v>
      </x:c>
      <x:c r="P411" s="27" t="n">
        <x:v>19.9999999999923</x:v>
      </x:c>
      <x:c r="Q411" s="1" t="str">
        <x:v>EXCAVATION</x:v>
      </x:c>
      <x:c r="R411" s="1" t="str">
        <x:v>CYR_STOPE_ACCESS_SCENARIO</x:v>
      </x:c>
    </x:row>
    <x:row r="412" ht="22" customHeight="1">
      <x:c r="A412" s="1" t="str">
        <x:v>RIN-C-C12</x:v>
      </x:c>
      <x:c r="B412" s="1" t="str">
        <x:v>CYR_OVERHAND</x:v>
      </x:c>
      <x:c r="C412" s="1" t="str">
        <x:v>TJ-C1</x:v>
      </x:c>
      <x:c r="D412" s="1" t="str">
        <x:v>12</x:v>
      </x:c>
      <x:c r="E412" s="27" t="n">
        <x:v>211.80418658504644</x:v>
      </x:c>
      <x:c r="F412" s="27" t="n">
        <x:v>4.5</x:v>
      </x:c>
      <x:c r="G412" s="27" t="n">
        <x:v>4.5</x:v>
      </x:c>
      <x:c r="H412" s="27" t="n">
        <x:v>18.801437602932776</x:v>
      </x:c>
      <x:c r="I412" s="27" t="n">
        <x:f>IF(OR(E412="",E412&lt;=0),"n.a.",J412/E412)</x:f>
        <x:v>18.691986643966352</x:v>
      </x:c>
      <x:c r="J412" s="27" t="n">
        <x:v>3959.041026783845</x:v>
      </x:c>
      <x:c r="K412" s="27"/>
      <x:c r="L412" s="27"/>
      <x:c r="M412" s="27" t="n">
        <x:v>2150</x:v>
      </x:c>
      <x:c r="N412" s="27" t="n">
        <x:v>2171.1666666666665</x:v>
      </x:c>
      <x:c r="O412" s="27" t="n">
        <x:v>7.893379024545344</x:v>
      </x:c>
      <x:c r="P412" s="27" t="n">
        <x:v>19.999999999994323</x:v>
      </x:c>
      <x:c r="Q412" s="1" t="str">
        <x:v>EXCAVATION</x:v>
      </x:c>
      <x:c r="R412" s="1" t="str">
        <x:v>CYR_RAMP_IN_SCENARIO</x:v>
      </x:c>
    </x:row>
    <x:row r="413" ht="22" customHeight="1">
      <x:c r="A413" s="1" t="str">
        <x:v>DIST-C-C12</x:v>
      </x:c>
      <x:c r="B413" s="1" t="str">
        <x:v>CYR_OVERHAND</x:v>
      </x:c>
      <x:c r="C413" s="1" t="str">
        <x:v>TJ-C1</x:v>
      </x:c>
      <x:c r="D413" s="1" t="str">
        <x:v>12</x:v>
      </x:c>
      <x:c r="E413" s="27" t="n">
        <x:v>60</x:v>
      </x:c>
      <x:c r="F413" s="27" t="n">
        <x:v>3.5</x:v>
      </x:c>
      <x:c r="G413" s="27" t="n">
        <x:v>3.5</x:v>
      </x:c>
      <x:c r="H413" s="27" t="n">
        <x:v>11.874446785945535</x:v>
      </x:c>
      <x:c r="I413" s="27" t="n">
        <x:f>IF(OR(E413="",E413&lt;=0),"n.a.",J413/E413)</x:f>
        <x:v>11.865632254112361</x:v>
      </x:c>
      <x:c r="J413" s="27" t="n">
        <x:v>711.9379352467416</x:v>
      </x:c>
      <x:c r="K413" s="27"/>
      <x:c r="L413" s="27"/>
      <x:c r="M413" s="27" t="n">
        <x:v>2166.6666666666665</x:v>
      </x:c>
      <x:c r="N413" s="27" t="n">
        <x:v>2170.1666666666665</x:v>
      </x:c>
      <x:c r="O413" s="27" t="n">
        <x:v>0</x:v>
      </x:c>
      <x:c r="P413" s="27"/>
      <x:c r="Q413" s="1" t="str">
        <x:v>EXCAVATION</x:v>
      </x:c>
      <x:c r="R413" s="1" t="str">
        <x:v>CYR_DISTRIBUTION_DRIFT_SCENARIO</x:v>
      </x:c>
    </x:row>
    <x:row r="414" ht="22" customHeight="1">
      <x:c r="A414" s="1" t="str">
        <x:v>CX-RIN-TJ-C1-C12</x:v>
      </x:c>
      <x:c r="B414" s="1" t="str">
        <x:v>CYR_OVERHAND</x:v>
      </x:c>
      <x:c r="C414" s="1" t="str">
        <x:v>TJ-C1</x:v>
      </x:c>
      <x:c r="D414" s="1" t="str">
        <x:v>12</x:v>
      </x:c>
      <x:c r="E414" s="27" t="n">
        <x:v>33.43264860827436</x:v>
      </x:c>
      <x:c r="F414" s="27" t="n">
        <x:v>3.5</x:v>
      </x:c>
      <x:c r="G414" s="27" t="n">
        <x:v>3.5</x:v>
      </x:c>
      <x:c r="H414" s="27" t="n">
        <x:v>11.874446785945535</x:v>
      </x:c>
      <x:c r="I414" s="27" t="n">
        <x:f>IF(OR(E414="",E414&lt;=0),"n.a.",J414/E414)</x:f>
        <x:v>11.859733683440902</x:v>
      </x:c>
      <x:c r="J414" s="27" t="n">
        <x:v>396.5023088261951</x:v>
      </x:c>
      <x:c r="K414" s="27"/>
      <x:c r="L414" s="27"/>
      <x:c r="M414" s="27" t="n">
        <x:v>2166.6666666666665</x:v>
      </x:c>
      <x:c r="N414" s="27" t="n">
        <x:v>2170.1666666666665</x:v>
      </x:c>
      <x:c r="O414" s="27" t="n">
        <x:v>0</x:v>
      </x:c>
      <x:c r="P414" s="27" t="n">
        <x:v>19.9999999999923</x:v>
      </x:c>
      <x:c r="Q414" s="1" t="str">
        <x:v>EXCAVATION</x:v>
      </x:c>
      <x:c r="R414" s="1" t="str">
        <x:v>CYR_STOPE_ACCESS_SCENARIO</x:v>
      </x:c>
    </x:row>
  </x:sheetData>
  <x:pageMargins left="0.7" right="0.7" top="0.75" bottom="0.75" header="0.3" footer="0.3"/>
</x:worksheet>
</file>